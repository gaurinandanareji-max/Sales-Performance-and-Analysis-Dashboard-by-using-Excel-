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8_{55912B59-17EF-4DF5-BD39-F0CBB0EA27BB}" xr6:coauthVersionLast="47" xr6:coauthVersionMax="47" xr10:uidLastSave="{00000000-0000-0000-0000-000000000000}"/>
  <bookViews>
    <workbookView xWindow="-108" yWindow="-108" windowWidth="23256" windowHeight="12456" activeTab="4" xr2:uid="{BFBE5153-5AC4-F140-A64B-67BCFAEA7E51}"/>
  </bookViews>
  <sheets>
    <sheet name="Sheet4" sheetId="4" r:id="rId1"/>
    <sheet name="Sheet3" sheetId="3" r:id="rId2"/>
    <sheet name="Sheet1" sheetId="1" r:id="rId3"/>
    <sheet name="Sheet2" sheetId="2" r:id="rId4"/>
    <sheet name="Sheet5" sheetId="5" r:id="rId5"/>
  </sheets>
  <definedNames>
    <definedName name="_xlcn.WorksheetConnection_SalesPerformanceandGrowthAnalysisDashboard10716841656883Exl_Dashboards_Sales.xlsxTable1" hidden="1">Table1[]</definedName>
    <definedName name="ExternalData_1" localSheetId="0" hidden="1">Sheet4!$A$3:$H$807</definedName>
    <definedName name="Slicer_Product">#N/A</definedName>
    <definedName name="Slicer_Salesperson">#N/A</definedName>
    <definedName name="Slicer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ales Performance and Growth Analysis Dashboard 10716841656883 Exl_Dashboards_Sale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806" i="1" l="1"/>
  <c r="G806" i="1"/>
  <c r="F806" i="1"/>
  <c r="A80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16FE5C-0442-498B-928E-E6573E67E610}" keepAlive="1" name="ModelConnection_ExternalData_1" description="Data Model" type="5" refreshedVersion="8" minRefreshableVersion="5" saveData="1">
    <dbPr connection="Data Model Connection" command="DRILLTHROUGH MAXROWS 1000 SELECT FROM [Model] WHERE ([Measures].[Sum of Amount]) RETURN [$Table1].[Year],[$Table1].[Salesperson],[$Table1].[Customer ID],[$Table1].[Customer],[$Table1].[Product],[$Table1].[Amount],[$Table1].[Offers],[$Table1].[Orders]" commandType="4"/>
    <extLst>
      <ext xmlns:x15="http://schemas.microsoft.com/office/spreadsheetml/2010/11/main" uri="{DE250136-89BD-433C-8126-D09CA5730AF9}">
        <x15:connection id="" model="1"/>
      </ext>
    </extLst>
  </connection>
  <connection id="2" xr16:uid="{005D707F-43FE-44AB-91F3-083A46BDA21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09B02CD-C39D-412C-8953-847D6469B0C6}" name="WorksheetConnection_Sales Performance and Growth Analysis Dashboard 10716841656883 Exl_Dashboards_Sales.xlsx!Table1" type="102" refreshedVersion="8" minRefreshableVersion="5">
    <extLst>
      <ext xmlns:x15="http://schemas.microsoft.com/office/spreadsheetml/2010/11/main" uri="{DE250136-89BD-433C-8126-D09CA5730AF9}">
        <x15:connection id="Table1" autoDelete="1">
          <x15:rangePr sourceName="_xlcn.WorksheetConnection_SalesPerformanceandGrowthAnalysisDashboard10716841656883Exl_Dashboards_Sales.xlsxTable1"/>
        </x15:connection>
      </ext>
    </extLst>
  </connection>
</connections>
</file>

<file path=xl/sharedStrings.xml><?xml version="1.0" encoding="utf-8"?>
<sst xmlns="http://schemas.openxmlformats.org/spreadsheetml/2006/main" count="6507" uniqueCount="255">
  <si>
    <t>Year</t>
  </si>
  <si>
    <t>Salesperson</t>
  </si>
  <si>
    <t>Customer ID</t>
  </si>
  <si>
    <t>Customer</t>
  </si>
  <si>
    <t>Product</t>
  </si>
  <si>
    <t>Amount</t>
  </si>
  <si>
    <t>Offers</t>
  </si>
  <si>
    <t>Orders</t>
  </si>
  <si>
    <t>S00411</t>
  </si>
  <si>
    <t>S00432</t>
  </si>
  <si>
    <t>S00501</t>
  </si>
  <si>
    <t>S00597</t>
  </si>
  <si>
    <t>S00348</t>
  </si>
  <si>
    <t>S00573</t>
  </si>
  <si>
    <t>S00689</t>
  </si>
  <si>
    <t>S00663</t>
  </si>
  <si>
    <t>S00688</t>
  </si>
  <si>
    <t>S00759</t>
  </si>
  <si>
    <t>Salesperson 1</t>
  </si>
  <si>
    <t>Salesperson 2</t>
  </si>
  <si>
    <t>Salesperson 3</t>
  </si>
  <si>
    <t>Salesperson 4</t>
  </si>
  <si>
    <t>Salesperson 5</t>
  </si>
  <si>
    <t>Salesperson 6</t>
  </si>
  <si>
    <t>Salesperson 7</t>
  </si>
  <si>
    <t>Salesperson 8</t>
  </si>
  <si>
    <t>Salesperson 9</t>
  </si>
  <si>
    <t>Salesperson 10</t>
  </si>
  <si>
    <t>Customer Name 1</t>
  </si>
  <si>
    <t>Customer Name 2</t>
  </si>
  <si>
    <t>Customer Name 3</t>
  </si>
  <si>
    <t>Customer Name 4</t>
  </si>
  <si>
    <t>Customer Name 5</t>
  </si>
  <si>
    <t>Customer Name 6</t>
  </si>
  <si>
    <t>Customer Name 7</t>
  </si>
  <si>
    <t>Customer Name 8</t>
  </si>
  <si>
    <t>Customer Name 9</t>
  </si>
  <si>
    <t>Customer Name 10</t>
  </si>
  <si>
    <t>Customer Name 11</t>
  </si>
  <si>
    <t>Customer Name 12</t>
  </si>
  <si>
    <t>Customer Name 13</t>
  </si>
  <si>
    <t>Customer Name 14</t>
  </si>
  <si>
    <t>Customer Name 15</t>
  </si>
  <si>
    <t>Customer Name 16</t>
  </si>
  <si>
    <t>Customer Name 17</t>
  </si>
  <si>
    <t>Customer Name 18</t>
  </si>
  <si>
    <t>Customer Name 19</t>
  </si>
  <si>
    <t>Customer Name 20</t>
  </si>
  <si>
    <t>Customer Name 21</t>
  </si>
  <si>
    <t>Customer Name 22</t>
  </si>
  <si>
    <t>Customer Name 23</t>
  </si>
  <si>
    <t>Customer Name 24</t>
  </si>
  <si>
    <t>Customer Name 25</t>
  </si>
  <si>
    <t>Customer Name 26</t>
  </si>
  <si>
    <t>Customer Name 27</t>
  </si>
  <si>
    <t>Customer Name 28</t>
  </si>
  <si>
    <t>Customer Name 29</t>
  </si>
  <si>
    <t>Customer Name 30</t>
  </si>
  <si>
    <t>Customer Name 31</t>
  </si>
  <si>
    <t>Customer Name 32</t>
  </si>
  <si>
    <t>Customer Name 33</t>
  </si>
  <si>
    <t>Customer Name 34</t>
  </si>
  <si>
    <t>Customer Name 35</t>
  </si>
  <si>
    <t>Customer Name 36</t>
  </si>
  <si>
    <t>Customer Name 37</t>
  </si>
  <si>
    <t>Customer Name 38</t>
  </si>
  <si>
    <t>Customer Name 39</t>
  </si>
  <si>
    <t>Customer Name 40</t>
  </si>
  <si>
    <t>Customer Name 41</t>
  </si>
  <si>
    <t>Customer Name 42</t>
  </si>
  <si>
    <t>Customer Name 43</t>
  </si>
  <si>
    <t>Customer Name 44</t>
  </si>
  <si>
    <t>Customer Name 45</t>
  </si>
  <si>
    <t>Customer Name 46</t>
  </si>
  <si>
    <t>Customer Name 47</t>
  </si>
  <si>
    <t>Customer Name 48</t>
  </si>
  <si>
    <t>Customer Name 49</t>
  </si>
  <si>
    <t>Customer Name 50</t>
  </si>
  <si>
    <t>Customer Name 51</t>
  </si>
  <si>
    <t>Customer Name 52</t>
  </si>
  <si>
    <t>Customer Name 53</t>
  </si>
  <si>
    <t>Customer Name 54</t>
  </si>
  <si>
    <t>Customer Name 55</t>
  </si>
  <si>
    <t>Customer Name 56</t>
  </si>
  <si>
    <t>Customer Name 57</t>
  </si>
  <si>
    <t>Customer Name 58</t>
  </si>
  <si>
    <t>Customer Name 59</t>
  </si>
  <si>
    <t>Customer Name 60</t>
  </si>
  <si>
    <t>Customer Name 61</t>
  </si>
  <si>
    <t>Customer Name 62</t>
  </si>
  <si>
    <t>Customer Name 63</t>
  </si>
  <si>
    <t>Customer Name 64</t>
  </si>
  <si>
    <t>Customer Name 65</t>
  </si>
  <si>
    <t>Customer Name 66</t>
  </si>
  <si>
    <t>Customer Name 67</t>
  </si>
  <si>
    <t>Customer Name 68</t>
  </si>
  <si>
    <t>Customer Name 69</t>
  </si>
  <si>
    <t>Customer Name 70</t>
  </si>
  <si>
    <t>Customer Name 71</t>
  </si>
  <si>
    <t>Customer Name 72</t>
  </si>
  <si>
    <t>Customer Name 73</t>
  </si>
  <si>
    <t>Customer Name 74</t>
  </si>
  <si>
    <t>Customer Name 75</t>
  </si>
  <si>
    <t>Customer Name 76</t>
  </si>
  <si>
    <t>Customer Name 77</t>
  </si>
  <si>
    <t>Customer Name 78</t>
  </si>
  <si>
    <t>Customer Name 79</t>
  </si>
  <si>
    <t>Customer Name 80</t>
  </si>
  <si>
    <t>Customer Name 81</t>
  </si>
  <si>
    <t>Customer Name 82</t>
  </si>
  <si>
    <t>Customer Name 83</t>
  </si>
  <si>
    <t>Customer Name 84</t>
  </si>
  <si>
    <t>Customer Name 85</t>
  </si>
  <si>
    <t>Customer Name 86</t>
  </si>
  <si>
    <t>Customer Name 87</t>
  </si>
  <si>
    <t>Customer Name 88</t>
  </si>
  <si>
    <t>Customer Name 89</t>
  </si>
  <si>
    <t>Customer Name 90</t>
  </si>
  <si>
    <t>Customer Name 91</t>
  </si>
  <si>
    <t>Customer Name 92</t>
  </si>
  <si>
    <t>Customer Name 93</t>
  </si>
  <si>
    <t>Customer Name 94</t>
  </si>
  <si>
    <t>Customer Name 95</t>
  </si>
  <si>
    <t>Customer Name 96</t>
  </si>
  <si>
    <t>Customer Name 97</t>
  </si>
  <si>
    <t>Customer Name 98</t>
  </si>
  <si>
    <t>Customer Name 99</t>
  </si>
  <si>
    <t>Customer Name 100</t>
  </si>
  <si>
    <t>Customer Name 101</t>
  </si>
  <si>
    <t>Customer Name 102</t>
  </si>
  <si>
    <t>Customer Name 103</t>
  </si>
  <si>
    <t>Customer Name 104</t>
  </si>
  <si>
    <t>Customer Name 105</t>
  </si>
  <si>
    <t>Customer Name 106</t>
  </si>
  <si>
    <t>Customer Name 107</t>
  </si>
  <si>
    <t>Customer Name 108</t>
  </si>
  <si>
    <t>Customer Name 109</t>
  </si>
  <si>
    <t>Customer Name 110</t>
  </si>
  <si>
    <t>Customer Name 111</t>
  </si>
  <si>
    <t>Customer Name 112</t>
  </si>
  <si>
    <t>Customer Name 113</t>
  </si>
  <si>
    <t>Customer Name 114</t>
  </si>
  <si>
    <t>Customer Name 115</t>
  </si>
  <si>
    <t>Customer Name 116</t>
  </si>
  <si>
    <t>Customer Name 117</t>
  </si>
  <si>
    <t>Customer Name 118</t>
  </si>
  <si>
    <t>Customer Name 119</t>
  </si>
  <si>
    <t>Customer Name 120</t>
  </si>
  <si>
    <t>Customer Name 121</t>
  </si>
  <si>
    <t>Customer Name 122</t>
  </si>
  <si>
    <t>Customer Name 123</t>
  </si>
  <si>
    <t>Customer Name 124</t>
  </si>
  <si>
    <t>Customer Name 125</t>
  </si>
  <si>
    <t>Customer Name 126</t>
  </si>
  <si>
    <t>Customer Name 127</t>
  </si>
  <si>
    <t>Customer Name 128</t>
  </si>
  <si>
    <t>Customer Name 129</t>
  </si>
  <si>
    <t>Customer Name 130</t>
  </si>
  <si>
    <t>Customer Name 131</t>
  </si>
  <si>
    <t>Customer Name 132</t>
  </si>
  <si>
    <t>Customer Name 133</t>
  </si>
  <si>
    <t>Customer Name 134</t>
  </si>
  <si>
    <t>Customer Name 135</t>
  </si>
  <si>
    <t>Customer Name 136</t>
  </si>
  <si>
    <t>Customer Name 137</t>
  </si>
  <si>
    <t>Customer Name 138</t>
  </si>
  <si>
    <t>Customer Name 139</t>
  </si>
  <si>
    <t>Customer Name 140</t>
  </si>
  <si>
    <t>Customer Name 141</t>
  </si>
  <si>
    <t>Customer Name 142</t>
  </si>
  <si>
    <t>Customer Name 143</t>
  </si>
  <si>
    <t>Customer Name 144</t>
  </si>
  <si>
    <t>Customer Name 145</t>
  </si>
  <si>
    <t>Customer Name 146</t>
  </si>
  <si>
    <t>Customer Name 147</t>
  </si>
  <si>
    <t>Customer Name 148</t>
  </si>
  <si>
    <t>Customer Name 149</t>
  </si>
  <si>
    <t>Customer Name 150</t>
  </si>
  <si>
    <t>Customer Name 151</t>
  </si>
  <si>
    <t>Customer Name 152</t>
  </si>
  <si>
    <t>Customer Name 153</t>
  </si>
  <si>
    <t>Customer Name 154</t>
  </si>
  <si>
    <t>Customer Name 155</t>
  </si>
  <si>
    <t>Customer Name 156</t>
  </si>
  <si>
    <t>Customer Name 157</t>
  </si>
  <si>
    <t>Customer Name 158</t>
  </si>
  <si>
    <t>Customer Name 159</t>
  </si>
  <si>
    <t>Customer Name 160</t>
  </si>
  <si>
    <t>Customer Name 161</t>
  </si>
  <si>
    <t>Customer Name 162</t>
  </si>
  <si>
    <t>Customer Name 163</t>
  </si>
  <si>
    <t>Customer Name 164</t>
  </si>
  <si>
    <t>Customer Name 165</t>
  </si>
  <si>
    <t>Customer Name 166</t>
  </si>
  <si>
    <t>Customer Name 167</t>
  </si>
  <si>
    <t>Customer Name 168</t>
  </si>
  <si>
    <t>Customer Name 169</t>
  </si>
  <si>
    <t>Customer Name 170</t>
  </si>
  <si>
    <t>Customer Name 171</t>
  </si>
  <si>
    <t>Customer Name 172</t>
  </si>
  <si>
    <t>Customer Name 173</t>
  </si>
  <si>
    <t>Customer Name 174</t>
  </si>
  <si>
    <t>Customer Name 175</t>
  </si>
  <si>
    <t>Customer Name 176</t>
  </si>
  <si>
    <t>Customer Name 177</t>
  </si>
  <si>
    <t>Customer Name 178</t>
  </si>
  <si>
    <t>Customer Name 179</t>
  </si>
  <si>
    <t>Customer Name 180</t>
  </si>
  <si>
    <t>Customer Name 181</t>
  </si>
  <si>
    <t>Customer Name 182</t>
  </si>
  <si>
    <t>Customer Name 183</t>
  </si>
  <si>
    <t>Customer Name 184</t>
  </si>
  <si>
    <t>Customer Name 185</t>
  </si>
  <si>
    <t>Customer Name 186</t>
  </si>
  <si>
    <t>Customer Name 187</t>
  </si>
  <si>
    <t>Customer Name 188</t>
  </si>
  <si>
    <t>Customer Name 189</t>
  </si>
  <si>
    <t>Customer Name 190</t>
  </si>
  <si>
    <t>Customer Name 191</t>
  </si>
  <si>
    <t>Customer Name 192</t>
  </si>
  <si>
    <t>Customer Name 193</t>
  </si>
  <si>
    <t>Customer Name 194</t>
  </si>
  <si>
    <t>Customer Name 195</t>
  </si>
  <si>
    <t>Customer Name 196</t>
  </si>
  <si>
    <t>Customer Name 197</t>
  </si>
  <si>
    <t>Customer Name 198</t>
  </si>
  <si>
    <t>Customer Name 199</t>
  </si>
  <si>
    <t>Customer Name 200</t>
  </si>
  <si>
    <t>Product N1</t>
  </si>
  <si>
    <t>Product N2</t>
  </si>
  <si>
    <t>Product N3</t>
  </si>
  <si>
    <t>Product N4</t>
  </si>
  <si>
    <t>Product N5</t>
  </si>
  <si>
    <t>Product N6</t>
  </si>
  <si>
    <t>Product N7</t>
  </si>
  <si>
    <t>Product N8</t>
  </si>
  <si>
    <t>Product N9</t>
  </si>
  <si>
    <t>Sum of Amount</t>
  </si>
  <si>
    <t>Row Labels</t>
  </si>
  <si>
    <t>Grand Total</t>
  </si>
  <si>
    <t xml:space="preserve">revenue by year </t>
  </si>
  <si>
    <t>Sum of Offers</t>
  </si>
  <si>
    <t>Sum of Orders</t>
  </si>
  <si>
    <t>Table1[Year]</t>
  </si>
  <si>
    <t>Table1[Salesperson]</t>
  </si>
  <si>
    <t>Table1[Customer ID]</t>
  </si>
  <si>
    <t>Table1[Customer]</t>
  </si>
  <si>
    <t>Table1[Product]</t>
  </si>
  <si>
    <t>Table1[Amount]</t>
  </si>
  <si>
    <t>Table1[Offers]</t>
  </si>
  <si>
    <t>Table1[Orders]</t>
  </si>
  <si>
    <t>Data returned for Sum of Amount (First 1000 rows).</t>
  </si>
  <si>
    <t>Distinct Count of Customer</t>
  </si>
  <si>
    <t xml:space="preserve">   </t>
  </si>
  <si>
    <t>SALES  GROWTH AND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</si>
</sst>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K"/>
  </numFmts>
  <fonts count="7" x14ac:knownFonts="1">
    <font>
      <sz val="11"/>
      <color theme="1"/>
      <name val="Calibri"/>
      <family val="2"/>
      <scheme val="minor"/>
    </font>
    <font>
      <sz val="8"/>
      <name val="Calibri"/>
      <family val="2"/>
      <scheme val="minor"/>
    </font>
    <font>
      <sz val="20"/>
      <color theme="0"/>
      <name val="Calibri"/>
      <family val="2"/>
    </font>
    <font>
      <sz val="20"/>
      <color theme="1"/>
      <name val="Calibri"/>
      <family val="2"/>
    </font>
    <font>
      <b/>
      <sz val="11"/>
      <color theme="1"/>
      <name val="Calibri"/>
      <family val="2"/>
      <scheme val="minor"/>
    </font>
    <font>
      <sz val="28"/>
      <color theme="3"/>
      <name val="Baskerville Old Face"/>
      <family val="1"/>
    </font>
    <font>
      <sz val="28"/>
      <color theme="1"/>
      <name val="Baskerville Old Face"/>
      <family val="1"/>
    </font>
  </fonts>
  <fills count="5">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3" tint="0.74999237037263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6">
    <xf numFmtId="0" fontId="0" fillId="0" borderId="0" xfId="0"/>
    <xf numFmtId="0" fontId="3" fillId="0" borderId="0" xfId="0" applyFont="1" applyAlignment="1" applyProtection="1">
      <alignment horizontal="center" vertical="center"/>
      <protection locked="0"/>
    </xf>
    <xf numFmtId="0" fontId="3" fillId="0" borderId="0" xfId="0" applyFont="1" applyAlignment="1">
      <alignment horizontal="center" vertical="center"/>
    </xf>
    <xf numFmtId="0" fontId="3" fillId="0" borderId="0" xfId="0" applyFont="1" applyProtection="1">
      <protection locked="0"/>
    </xf>
    <xf numFmtId="0" fontId="3" fillId="0" borderId="0" xfId="0" applyFont="1"/>
    <xf numFmtId="0" fontId="2" fillId="2" borderId="2" xfId="0" applyFont="1" applyFill="1" applyBorder="1" applyAlignment="1" applyProtection="1">
      <alignment horizontal="center" vertical="center"/>
      <protection locked="0"/>
    </xf>
    <xf numFmtId="0" fontId="2" fillId="2" borderId="3" xfId="0" applyFont="1" applyFill="1" applyBorder="1" applyAlignment="1" applyProtection="1">
      <alignment horizontal="center" vertical="center"/>
      <protection locked="0"/>
    </xf>
    <xf numFmtId="0" fontId="2" fillId="2" borderId="4" xfId="0" applyFont="1" applyFill="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3" fontId="3" fillId="0" borderId="1" xfId="0" applyNumberFormat="1" applyFont="1" applyBorder="1" applyAlignment="1" applyProtection="1">
      <alignment horizontal="center" vertical="center"/>
      <protection locked="0"/>
    </xf>
    <xf numFmtId="3" fontId="3" fillId="0" borderId="6" xfId="0" applyNumberFormat="1"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3" fontId="3" fillId="0" borderId="8" xfId="0" applyNumberFormat="1" applyFont="1" applyBorder="1" applyAlignment="1" applyProtection="1">
      <alignment horizontal="center" vertical="center"/>
      <protection locked="0"/>
    </xf>
    <xf numFmtId="3" fontId="3" fillId="0" borderId="9" xfId="0" applyNumberFormat="1" applyFont="1" applyBorder="1" applyAlignment="1" applyProtection="1">
      <alignment horizontal="center" vertical="center"/>
      <protection locked="0"/>
    </xf>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4" fillId="0" borderId="0" xfId="0" applyFont="1"/>
    <xf numFmtId="0" fontId="0" fillId="3" borderId="0" xfId="0" applyFill="1"/>
    <xf numFmtId="0" fontId="0" fillId="4" borderId="0" xfId="0" applyFill="1"/>
    <xf numFmtId="0" fontId="0" fillId="4" borderId="0" xfId="0" applyFill="1" applyAlignment="1">
      <alignment horizontal="center"/>
    </xf>
    <xf numFmtId="0" fontId="5" fillId="4" borderId="0" xfId="0" applyFont="1" applyFill="1" applyAlignment="1">
      <alignment horizontal="center"/>
    </xf>
    <xf numFmtId="0" fontId="6" fillId="4" borderId="0" xfId="0" applyFont="1" applyFill="1" applyAlignment="1">
      <alignment horizontal="center"/>
    </xf>
  </cellXfs>
  <cellStyles count="1">
    <cellStyle name="Normal" xfId="0" builtinId="0"/>
  </cellStyles>
  <dxfs count="29">
    <dxf>
      <font>
        <b val="0"/>
        <i val="0"/>
        <strike val="0"/>
        <condense val="0"/>
        <extend val="0"/>
        <outline val="0"/>
        <shadow val="0"/>
        <u val="none"/>
        <vertAlign val="baseline"/>
        <sz val="20"/>
        <color theme="1"/>
        <name val="Calibri"/>
        <family val="2"/>
        <scheme val="none"/>
      </font>
      <numFmt numFmtId="3" formatCode="#,##0"/>
      <alignment horizontal="center" vertical="center" textRotation="0" wrapText="0" indent="0" justifyLastLine="0" shrinkToFit="0" readingOrder="0"/>
      <border diagonalUp="0" diagonalDown="0">
        <left style="thin">
          <color indexed="64"/>
        </left>
        <right/>
        <top/>
        <bottom/>
        <vertical style="thin">
          <color indexed="64"/>
        </vertical>
        <horizontal style="thin">
          <color indexed="64"/>
        </horizontal>
      </border>
      <protection locked="0" hidden="0"/>
    </dxf>
    <dxf>
      <font>
        <b val="0"/>
        <i val="0"/>
        <strike val="0"/>
        <condense val="0"/>
        <extend val="0"/>
        <outline val="0"/>
        <shadow val="0"/>
        <u val="none"/>
        <vertAlign val="baseline"/>
        <sz val="20"/>
        <color theme="1"/>
        <name val="Calibri"/>
        <family val="2"/>
        <scheme val="none"/>
      </font>
      <numFmt numFmtId="3"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20"/>
        <color theme="1"/>
        <name val="Calibri"/>
        <family val="2"/>
        <scheme val="none"/>
      </font>
      <numFmt numFmtId="3" formatCode="#,##0"/>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ont>
        <b val="0"/>
        <i val="0"/>
        <strike val="0"/>
        <condense val="0"/>
        <extend val="0"/>
        <outline val="0"/>
        <shadow val="0"/>
        <u val="none"/>
        <vertAlign val="baseline"/>
        <sz val="20"/>
        <color theme="1"/>
        <name val="Calibri"/>
        <family val="2"/>
        <scheme val="none"/>
      </font>
      <numFmt numFmtId="3"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20"/>
        <color theme="1"/>
        <name val="Calibri"/>
        <family val="2"/>
        <scheme val="none"/>
      </font>
      <numFmt numFmtId="3" formatCode="#,##0"/>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ont>
        <b val="0"/>
        <i val="0"/>
        <strike val="0"/>
        <condense val="0"/>
        <extend val="0"/>
        <outline val="0"/>
        <shadow val="0"/>
        <u val="none"/>
        <vertAlign val="baseline"/>
        <sz val="20"/>
        <color theme="1"/>
        <name val="Calibri"/>
        <family val="2"/>
        <scheme val="none"/>
      </font>
      <numFmt numFmtId="3"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border diagonalUp="0" diagonalDown="0">
        <left/>
        <right style="thin">
          <color indexed="64"/>
        </right>
        <top/>
        <bottom/>
        <vertical style="thin">
          <color indexed="64"/>
        </vertical>
        <horizontal style="thin">
          <color indexed="64"/>
        </horizontal>
      </border>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top style="thin">
          <color indexed="64"/>
        </top>
      </border>
    </dxf>
    <dxf>
      <font>
        <b val="0"/>
        <strike val="0"/>
        <outline val="0"/>
        <shadow val="0"/>
        <u val="none"/>
        <vertAlign val="baseline"/>
        <sz val="20"/>
        <color theme="1"/>
        <name val="Calibri"/>
        <family val="2"/>
        <scheme val="none"/>
      </font>
      <fill>
        <patternFill patternType="none">
          <fgColor indexed="64"/>
          <bgColor auto="1"/>
        </patternFill>
      </fill>
      <alignment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border>
        <bottom style="thin">
          <color indexed="64"/>
        </bottom>
      </border>
    </dxf>
    <dxf>
      <font>
        <b val="0"/>
        <strike val="0"/>
        <outline val="0"/>
        <shadow val="0"/>
        <u val="none"/>
        <vertAlign val="baseline"/>
        <sz val="20"/>
        <color theme="0"/>
        <name val="Calibri"/>
        <family val="2"/>
        <scheme val="none"/>
      </font>
      <fill>
        <patternFill patternType="solid">
          <fgColor indexed="64"/>
          <bgColor theme="1"/>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ill>
        <patternFill patternType="solid">
          <fgColor theme="0" tint="-0.14999847407452621"/>
          <bgColor theme="0" tint="-0.14999847407452621"/>
        </patternFill>
      </fill>
    </dxf>
    <dxf>
      <fill>
        <patternFill patternType="solid">
          <fgColor theme="0" tint="-0.14996795556505021"/>
          <bgColor theme="0" tint="-4.9989318521683403E-2"/>
        </patternFill>
      </fill>
    </dxf>
    <dxf>
      <font>
        <b/>
        <color theme="1"/>
      </font>
    </dxf>
    <dxf>
      <font>
        <b/>
        <color theme="1"/>
      </font>
    </dxf>
    <dxf>
      <font>
        <b/>
        <color theme="1"/>
      </font>
      <border>
        <top style="thin">
          <color theme="1"/>
        </top>
      </border>
    </dxf>
    <dxf>
      <font>
        <b/>
        <color theme="1"/>
      </font>
      <border>
        <bottom style="thin">
          <color theme="1"/>
        </bottom>
      </border>
    </dxf>
    <dxf>
      <font>
        <color theme="1"/>
      </font>
      <border>
        <top style="thin">
          <color theme="1"/>
        </top>
        <bottom style="thin">
          <color theme="1"/>
        </bottom>
      </border>
    </dxf>
  </dxfs>
  <tableStyles count="1" defaultTableStyle="TableStyleMedium2" defaultPivotStyle="PivotStyleLight16">
    <tableStyle name="TableStyleLight1 2" pivot="0" count="7" xr9:uid="{04CE8E7B-70F8-EE44-9275-12974F31636B}">
      <tableStyleElement type="wholeTable" dxfId="28"/>
      <tableStyleElement type="headerRow" dxfId="27"/>
      <tableStyleElement type="totalRow" dxfId="26"/>
      <tableStyleElement type="firstColumn" dxfId="25"/>
      <tableStyleElement type="lastColumn" dxfId="24"/>
      <tableStyleElement type="firstRowStripe" dxfId="23"/>
      <tableStyleElement type="firstColumnStripe" dxfId="22"/>
    </tableStyle>
  </tableStyles>
  <colors>
    <mruColors>
      <color rgb="FF84BE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Dashboard.xlsx 1.xlsx]Sheet3!PivotTable1</c:name>
    <c:fmtId val="1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YEAR-WISE SALES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49981748970122"/>
          <c:y val="0.26432516456833272"/>
          <c:w val="0.68528054440214836"/>
          <c:h val="0.60175691608067716"/>
        </c:manualLayout>
      </c:layout>
      <c:lineChart>
        <c:grouping val="standard"/>
        <c:varyColors val="0"/>
        <c:ser>
          <c:idx val="0"/>
          <c:order val="0"/>
          <c:tx>
            <c:strRef>
              <c:f>Sheet3!$B$3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Sheet3!$A$4:$A$8</c:f>
              <c:strCache>
                <c:ptCount val="4"/>
                <c:pt idx="0">
                  <c:v>2021</c:v>
                </c:pt>
                <c:pt idx="1">
                  <c:v>2022</c:v>
                </c:pt>
                <c:pt idx="2">
                  <c:v>2023</c:v>
                </c:pt>
                <c:pt idx="3">
                  <c:v>2024</c:v>
                </c:pt>
              </c:strCache>
            </c:strRef>
          </c:cat>
          <c:val>
            <c:numRef>
              <c:f>Sheet3!$B$4:$B$8</c:f>
              <c:numCache>
                <c:formatCode>General</c:formatCode>
                <c:ptCount val="4"/>
                <c:pt idx="0">
                  <c:v>96776538.179199994</c:v>
                </c:pt>
                <c:pt idx="1">
                  <c:v>108753358.56</c:v>
                </c:pt>
                <c:pt idx="2">
                  <c:v>111014327.55839995</c:v>
                </c:pt>
                <c:pt idx="3">
                  <c:v>160340001.67987177</c:v>
                </c:pt>
              </c:numCache>
            </c:numRef>
          </c:val>
          <c:smooth val="0"/>
          <c:extLst>
            <c:ext xmlns:c16="http://schemas.microsoft.com/office/drawing/2014/chart" uri="{C3380CC4-5D6E-409C-BE32-E72D297353CC}">
              <c16:uniqueId val="{00000000-8F47-4618-ADA5-691D1C5F01AD}"/>
            </c:ext>
          </c:extLst>
        </c:ser>
        <c:dLbls>
          <c:dLblPos val="ctr"/>
          <c:showLegendKey val="0"/>
          <c:showVal val="1"/>
          <c:showCatName val="0"/>
          <c:showSerName val="0"/>
          <c:showPercent val="0"/>
          <c:showBubbleSize val="0"/>
        </c:dLbls>
        <c:marker val="1"/>
        <c:smooth val="0"/>
        <c:axId val="1767476416"/>
        <c:axId val="1767481696"/>
      </c:lineChart>
      <c:catAx>
        <c:axId val="1767476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67481696"/>
        <c:crosses val="autoZero"/>
        <c:auto val="1"/>
        <c:lblAlgn val="ctr"/>
        <c:lblOffset val="100"/>
        <c:noMultiLvlLbl val="0"/>
      </c:catAx>
      <c:valAx>
        <c:axId val="1767481696"/>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476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Dashboard.xlsx 1.xlsx]Sheet3!PivotTable2</c:name>
    <c:fmtId val="2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SALESPERSON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Sheet3!$F$3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Sheet3!$E$4:$E$14</c:f>
              <c:strCache>
                <c:ptCount val="10"/>
                <c:pt idx="0">
                  <c:v>Salesperson 1</c:v>
                </c:pt>
                <c:pt idx="1">
                  <c:v>Salesperson 10</c:v>
                </c:pt>
                <c:pt idx="2">
                  <c:v>Salesperson 2</c:v>
                </c:pt>
                <c:pt idx="3">
                  <c:v>Salesperson 3</c:v>
                </c:pt>
                <c:pt idx="4">
                  <c:v>Salesperson 4</c:v>
                </c:pt>
                <c:pt idx="5">
                  <c:v>Salesperson 5</c:v>
                </c:pt>
                <c:pt idx="6">
                  <c:v>Salesperson 6</c:v>
                </c:pt>
                <c:pt idx="7">
                  <c:v>Salesperson 7</c:v>
                </c:pt>
                <c:pt idx="8">
                  <c:v>Salesperson 8</c:v>
                </c:pt>
                <c:pt idx="9">
                  <c:v>Salesperson 9</c:v>
                </c:pt>
              </c:strCache>
            </c:strRef>
          </c:cat>
          <c:val>
            <c:numRef>
              <c:f>Sheet3!$F$4:$F$14</c:f>
              <c:numCache>
                <c:formatCode>General</c:formatCode>
                <c:ptCount val="10"/>
                <c:pt idx="0">
                  <c:v>37717688.848767996</c:v>
                </c:pt>
                <c:pt idx="1">
                  <c:v>37581014.665215984</c:v>
                </c:pt>
                <c:pt idx="2">
                  <c:v>64865930.992895998</c:v>
                </c:pt>
                <c:pt idx="3">
                  <c:v>37042038.400256008</c:v>
                </c:pt>
                <c:pt idx="4">
                  <c:v>73995247.361151993</c:v>
                </c:pt>
                <c:pt idx="5">
                  <c:v>29276846.823679999</c:v>
                </c:pt>
                <c:pt idx="6">
                  <c:v>57629535.463295981</c:v>
                </c:pt>
                <c:pt idx="7">
                  <c:v>38967818.394175984</c:v>
                </c:pt>
                <c:pt idx="8">
                  <c:v>72576812.604863971</c:v>
                </c:pt>
                <c:pt idx="9">
                  <c:v>27231292.423168004</c:v>
                </c:pt>
              </c:numCache>
            </c:numRef>
          </c:val>
          <c:extLst>
            <c:ext xmlns:c16="http://schemas.microsoft.com/office/drawing/2014/chart" uri="{C3380CC4-5D6E-409C-BE32-E72D297353CC}">
              <c16:uniqueId val="{00000000-254F-44B5-96E0-EB97C68EE35D}"/>
            </c:ext>
          </c:extLst>
        </c:ser>
        <c:dLbls>
          <c:showLegendKey val="0"/>
          <c:showVal val="0"/>
          <c:showCatName val="0"/>
          <c:showSerName val="0"/>
          <c:showPercent val="0"/>
          <c:showBubbleSize val="0"/>
        </c:dLbls>
        <c:gapWidth val="150"/>
        <c:gapDepth val="0"/>
        <c:shape val="box"/>
        <c:axId val="412141696"/>
        <c:axId val="412142656"/>
        <c:axId val="0"/>
      </c:bar3DChart>
      <c:catAx>
        <c:axId val="412141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142656"/>
        <c:crosses val="autoZero"/>
        <c:auto val="1"/>
        <c:lblAlgn val="ctr"/>
        <c:lblOffset val="100"/>
        <c:noMultiLvlLbl val="0"/>
      </c:catAx>
      <c:valAx>
        <c:axId val="41214265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14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Dashboard.xlsx 1.xlsx]Sheet3!PivotTable3</c:name>
    <c:fmtId val="3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aseline="0"/>
              <a:t>SALES BY PRODUCT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Sheet3!$I$3</c:f>
              <c:strCache>
                <c:ptCount val="1"/>
                <c:pt idx="0">
                  <c:v>Total</c:v>
                </c:pt>
              </c:strCache>
            </c:strRef>
          </c:tx>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c:spPr>
          <c:invertIfNegative val="0"/>
          <c:cat>
            <c:strRef>
              <c:f>Sheet3!$H$4:$H$13</c:f>
              <c:strCache>
                <c:ptCount val="9"/>
                <c:pt idx="0">
                  <c:v>Product N1</c:v>
                </c:pt>
                <c:pt idx="1">
                  <c:v>Product N2</c:v>
                </c:pt>
                <c:pt idx="2">
                  <c:v>Product N3</c:v>
                </c:pt>
                <c:pt idx="3">
                  <c:v>Product N4</c:v>
                </c:pt>
                <c:pt idx="4">
                  <c:v>Product N5</c:v>
                </c:pt>
                <c:pt idx="5">
                  <c:v>Product N6</c:v>
                </c:pt>
                <c:pt idx="6">
                  <c:v>Product N7</c:v>
                </c:pt>
                <c:pt idx="7">
                  <c:v>Product N8</c:v>
                </c:pt>
                <c:pt idx="8">
                  <c:v>Product N9</c:v>
                </c:pt>
              </c:strCache>
            </c:strRef>
          </c:cat>
          <c:val>
            <c:numRef>
              <c:f>Sheet3!$I$4:$I$13</c:f>
              <c:numCache>
                <c:formatCode>General</c:formatCode>
                <c:ptCount val="9"/>
                <c:pt idx="0">
                  <c:v>32889140.813312039</c:v>
                </c:pt>
                <c:pt idx="1">
                  <c:v>68979430.933247998</c:v>
                </c:pt>
                <c:pt idx="2">
                  <c:v>38584046.809023999</c:v>
                </c:pt>
                <c:pt idx="3">
                  <c:v>69405218.359999999</c:v>
                </c:pt>
                <c:pt idx="4">
                  <c:v>71503450.668992013</c:v>
                </c:pt>
                <c:pt idx="5">
                  <c:v>54140440.293567978</c:v>
                </c:pt>
                <c:pt idx="6">
                  <c:v>55340609.207808003</c:v>
                </c:pt>
                <c:pt idx="7">
                  <c:v>38777680.029376</c:v>
                </c:pt>
                <c:pt idx="8">
                  <c:v>47264208.862143964</c:v>
                </c:pt>
              </c:numCache>
            </c:numRef>
          </c:val>
          <c:extLst>
            <c:ext xmlns:c16="http://schemas.microsoft.com/office/drawing/2014/chart" uri="{C3380CC4-5D6E-409C-BE32-E72D297353CC}">
              <c16:uniqueId val="{00000000-539D-4560-8394-D653717EB85B}"/>
            </c:ext>
          </c:extLst>
        </c:ser>
        <c:dLbls>
          <c:showLegendKey val="0"/>
          <c:showVal val="0"/>
          <c:showCatName val="0"/>
          <c:showSerName val="0"/>
          <c:showPercent val="0"/>
          <c:showBubbleSize val="0"/>
        </c:dLbls>
        <c:gapWidth val="100"/>
        <c:axId val="449175264"/>
        <c:axId val="449175744"/>
      </c:barChart>
      <c:catAx>
        <c:axId val="44917526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9175744"/>
        <c:crosses val="autoZero"/>
        <c:auto val="1"/>
        <c:lblAlgn val="ctr"/>
        <c:lblOffset val="100"/>
        <c:noMultiLvlLbl val="0"/>
      </c:catAx>
      <c:valAx>
        <c:axId val="449175744"/>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917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Dashboard.xlsx 1.xlsx]Sheet3!PivotTable4</c:name>
    <c:fmtId val="6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TEN CUSTOMERS BY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Sheet3!$L$3</c:f>
              <c:strCache>
                <c:ptCount val="1"/>
                <c:pt idx="0">
                  <c:v>Total</c:v>
                </c:pt>
              </c:strCache>
            </c:strRef>
          </c:tx>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c:spPr>
          <c:invertIfNegative val="0"/>
          <c:cat>
            <c:strRef>
              <c:f>Sheet3!$K$4:$K$14</c:f>
              <c:strCache>
                <c:ptCount val="10"/>
                <c:pt idx="0">
                  <c:v>Customer Name 100</c:v>
                </c:pt>
                <c:pt idx="1">
                  <c:v>Customer Name 115</c:v>
                </c:pt>
                <c:pt idx="2">
                  <c:v>Customer Name 131</c:v>
                </c:pt>
                <c:pt idx="3">
                  <c:v>Customer Name 147</c:v>
                </c:pt>
                <c:pt idx="4">
                  <c:v>Customer Name 150</c:v>
                </c:pt>
                <c:pt idx="5">
                  <c:v>Customer Name 154</c:v>
                </c:pt>
                <c:pt idx="6">
                  <c:v>Customer Name 24</c:v>
                </c:pt>
                <c:pt idx="7">
                  <c:v>Customer Name 72</c:v>
                </c:pt>
                <c:pt idx="8">
                  <c:v>Customer Name 86</c:v>
                </c:pt>
                <c:pt idx="9">
                  <c:v>Customer Name 97</c:v>
                </c:pt>
              </c:strCache>
            </c:strRef>
          </c:cat>
          <c:val>
            <c:numRef>
              <c:f>Sheet3!$L$4:$L$14</c:f>
              <c:numCache>
                <c:formatCode>General</c:formatCode>
                <c:ptCount val="10"/>
                <c:pt idx="0">
                  <c:v>5594929.8531840006</c:v>
                </c:pt>
                <c:pt idx="1">
                  <c:v>5697306.1393920006</c:v>
                </c:pt>
                <c:pt idx="2">
                  <c:v>5212820.4817919992</c:v>
                </c:pt>
                <c:pt idx="3">
                  <c:v>5273464.390656</c:v>
                </c:pt>
                <c:pt idx="4">
                  <c:v>10803857.069824001</c:v>
                </c:pt>
                <c:pt idx="5">
                  <c:v>5996733.1007359996</c:v>
                </c:pt>
                <c:pt idx="6">
                  <c:v>5984702.2413439993</c:v>
                </c:pt>
                <c:pt idx="7">
                  <c:v>5991924.2181119993</c:v>
                </c:pt>
                <c:pt idx="8">
                  <c:v>5666278.0195839992</c:v>
                </c:pt>
                <c:pt idx="9">
                  <c:v>6195274.323392</c:v>
                </c:pt>
              </c:numCache>
            </c:numRef>
          </c:val>
          <c:extLst>
            <c:ext xmlns:c16="http://schemas.microsoft.com/office/drawing/2014/chart" uri="{C3380CC4-5D6E-409C-BE32-E72D297353CC}">
              <c16:uniqueId val="{00000000-432C-45D9-B757-2AFA187E850B}"/>
            </c:ext>
          </c:extLst>
        </c:ser>
        <c:dLbls>
          <c:showLegendKey val="0"/>
          <c:showVal val="0"/>
          <c:showCatName val="0"/>
          <c:showSerName val="0"/>
          <c:showPercent val="0"/>
          <c:showBubbleSize val="0"/>
        </c:dLbls>
        <c:gapWidth val="100"/>
        <c:overlap val="-24"/>
        <c:axId val="538945072"/>
        <c:axId val="538936432"/>
      </c:barChart>
      <c:catAx>
        <c:axId val="5389450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8936432"/>
        <c:crosses val="autoZero"/>
        <c:auto val="1"/>
        <c:lblAlgn val="ctr"/>
        <c:lblOffset val="100"/>
        <c:noMultiLvlLbl val="0"/>
      </c:catAx>
      <c:valAx>
        <c:axId val="53893643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894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Dashboard.xlsx 1.xlsx]Sheet3!PivotTable5</c:name>
    <c:fmtId val="7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TEN OFFERS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Sheet3!$C$19</c:f>
              <c:strCache>
                <c:ptCount val="1"/>
                <c:pt idx="0">
                  <c:v>Total</c:v>
                </c:pt>
              </c:strCache>
            </c:strRef>
          </c:tx>
          <c:spPr>
            <a:solidFill>
              <a:schemeClr val="accent1"/>
            </a:solidFill>
            <a:ln>
              <a:noFill/>
            </a:ln>
            <a:effectLst/>
          </c:spPr>
          <c:invertIfNegative val="0"/>
          <c:cat>
            <c:strRef>
              <c:f>Sheet3!$B$20:$B$30</c:f>
              <c:strCache>
                <c:ptCount val="10"/>
                <c:pt idx="0">
                  <c:v>168</c:v>
                </c:pt>
                <c:pt idx="1">
                  <c:v>312</c:v>
                </c:pt>
                <c:pt idx="2">
                  <c:v>403</c:v>
                </c:pt>
                <c:pt idx="3">
                  <c:v>413</c:v>
                </c:pt>
                <c:pt idx="4">
                  <c:v>568</c:v>
                </c:pt>
                <c:pt idx="5">
                  <c:v>577</c:v>
                </c:pt>
                <c:pt idx="6">
                  <c:v>610</c:v>
                </c:pt>
                <c:pt idx="7">
                  <c:v>692</c:v>
                </c:pt>
                <c:pt idx="8">
                  <c:v>839</c:v>
                </c:pt>
                <c:pt idx="9">
                  <c:v>872</c:v>
                </c:pt>
              </c:strCache>
            </c:strRef>
          </c:cat>
          <c:val>
            <c:numRef>
              <c:f>Sheet3!$C$20:$C$30</c:f>
              <c:numCache>
                <c:formatCode>General</c:formatCode>
                <c:ptCount val="10"/>
                <c:pt idx="0">
                  <c:v>22534558.147583999</c:v>
                </c:pt>
                <c:pt idx="1">
                  <c:v>28207774.68364799</c:v>
                </c:pt>
                <c:pt idx="2">
                  <c:v>19750975.141632006</c:v>
                </c:pt>
                <c:pt idx="3">
                  <c:v>20936625.798144005</c:v>
                </c:pt>
                <c:pt idx="4">
                  <c:v>19519517.045504</c:v>
                </c:pt>
                <c:pt idx="5">
                  <c:v>23996555.306752004</c:v>
                </c:pt>
                <c:pt idx="6">
                  <c:v>24011402.158528</c:v>
                </c:pt>
                <c:pt idx="7">
                  <c:v>18989051.565567996</c:v>
                </c:pt>
                <c:pt idx="8">
                  <c:v>48269231.374335974</c:v>
                </c:pt>
                <c:pt idx="9">
                  <c:v>21873540.609536</c:v>
                </c:pt>
              </c:numCache>
            </c:numRef>
          </c:val>
          <c:extLst>
            <c:ext xmlns:c16="http://schemas.microsoft.com/office/drawing/2014/chart" uri="{C3380CC4-5D6E-409C-BE32-E72D297353CC}">
              <c16:uniqueId val="{00000000-7B3D-430E-A1E1-7E8D78BEA73D}"/>
            </c:ext>
          </c:extLst>
        </c:ser>
        <c:dLbls>
          <c:showLegendKey val="0"/>
          <c:showVal val="0"/>
          <c:showCatName val="0"/>
          <c:showSerName val="0"/>
          <c:showPercent val="0"/>
          <c:showBubbleSize val="0"/>
        </c:dLbls>
        <c:gapWidth val="219"/>
        <c:overlap val="-27"/>
        <c:axId val="538957552"/>
        <c:axId val="538958512"/>
      </c:barChart>
      <c:catAx>
        <c:axId val="53895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958512"/>
        <c:crosses val="autoZero"/>
        <c:auto val="1"/>
        <c:lblAlgn val="ctr"/>
        <c:lblOffset val="100"/>
        <c:noMultiLvlLbl val="0"/>
      </c:catAx>
      <c:valAx>
        <c:axId val="53895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95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Dashboard.xlsx 1.xlsx]Sheet3!PivotTable6</c:name>
    <c:fmtId val="7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ORDERS Vs OFFERS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Sheet3!$G$18</c:f>
              <c:strCache>
                <c:ptCount val="1"/>
                <c:pt idx="0">
                  <c:v>Total</c:v>
                </c:pt>
              </c:strCache>
            </c:strRef>
          </c:tx>
          <c:spPr>
            <a:solidFill>
              <a:schemeClr val="accent1"/>
            </a:solidFill>
            <a:ln>
              <a:noFill/>
            </a:ln>
            <a:effectLst/>
            <a:sp3d/>
          </c:spPr>
          <c:invertIfNegative val="0"/>
          <c:cat>
            <c:strRef>
              <c:f>Sheet3!$F$19:$F$29</c:f>
              <c:strCache>
                <c:ptCount val="10"/>
                <c:pt idx="0">
                  <c:v>168</c:v>
                </c:pt>
                <c:pt idx="1">
                  <c:v>312</c:v>
                </c:pt>
                <c:pt idx="2">
                  <c:v>403</c:v>
                </c:pt>
                <c:pt idx="3">
                  <c:v>413</c:v>
                </c:pt>
                <c:pt idx="4">
                  <c:v>568</c:v>
                </c:pt>
                <c:pt idx="5">
                  <c:v>577</c:v>
                </c:pt>
                <c:pt idx="6">
                  <c:v>610</c:v>
                </c:pt>
                <c:pt idx="7">
                  <c:v>692</c:v>
                </c:pt>
                <c:pt idx="8">
                  <c:v>839</c:v>
                </c:pt>
                <c:pt idx="9">
                  <c:v>872</c:v>
                </c:pt>
              </c:strCache>
            </c:strRef>
          </c:cat>
          <c:val>
            <c:numRef>
              <c:f>Sheet3!$G$19:$G$29</c:f>
              <c:numCache>
                <c:formatCode>General</c:formatCode>
                <c:ptCount val="10"/>
                <c:pt idx="0">
                  <c:v>3104</c:v>
                </c:pt>
                <c:pt idx="1">
                  <c:v>38337</c:v>
                </c:pt>
                <c:pt idx="2">
                  <c:v>32402</c:v>
                </c:pt>
                <c:pt idx="3">
                  <c:v>33480</c:v>
                </c:pt>
                <c:pt idx="4">
                  <c:v>13635</c:v>
                </c:pt>
                <c:pt idx="5">
                  <c:v>5775</c:v>
                </c:pt>
                <c:pt idx="6">
                  <c:v>35414</c:v>
                </c:pt>
                <c:pt idx="7">
                  <c:v>10500</c:v>
                </c:pt>
                <c:pt idx="8">
                  <c:v>45446</c:v>
                </c:pt>
                <c:pt idx="9">
                  <c:v>8466</c:v>
                </c:pt>
              </c:numCache>
            </c:numRef>
          </c:val>
          <c:extLst>
            <c:ext xmlns:c16="http://schemas.microsoft.com/office/drawing/2014/chart" uri="{C3380CC4-5D6E-409C-BE32-E72D297353CC}">
              <c16:uniqueId val="{00000000-8A8B-4F7E-99D1-FF67C6031679}"/>
            </c:ext>
          </c:extLst>
        </c:ser>
        <c:dLbls>
          <c:showLegendKey val="0"/>
          <c:showVal val="0"/>
          <c:showCatName val="0"/>
          <c:showSerName val="0"/>
          <c:showPercent val="0"/>
          <c:showBubbleSize val="0"/>
        </c:dLbls>
        <c:gapWidth val="150"/>
        <c:shape val="box"/>
        <c:axId val="538966192"/>
        <c:axId val="538986832"/>
        <c:axId val="407313616"/>
      </c:bar3DChart>
      <c:catAx>
        <c:axId val="538966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38986832"/>
        <c:crosses val="autoZero"/>
        <c:auto val="1"/>
        <c:lblAlgn val="ctr"/>
        <c:lblOffset val="100"/>
        <c:noMultiLvlLbl val="0"/>
      </c:catAx>
      <c:valAx>
        <c:axId val="53898683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no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966192"/>
        <c:crosses val="autoZero"/>
        <c:crossBetween val="between"/>
      </c:valAx>
      <c:serAx>
        <c:axId val="4073136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98683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Dashboard.xlsx 1.xlsx]Sheet3!PivotTable1</c:name>
    <c:fmtId val="1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000"/>
              <a:t>YEAR-WISE SALES TREND</a:t>
            </a:r>
          </a:p>
        </c:rich>
      </c:tx>
      <c:overlay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pivotFmt>
      <c:pivotFmt>
        <c:idx val="1"/>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49981748970122"/>
          <c:y val="0.26432516456833272"/>
          <c:w val="0.68528054440214836"/>
          <c:h val="0.60175691608067716"/>
        </c:manualLayout>
      </c:layout>
      <c:lineChart>
        <c:grouping val="standard"/>
        <c:varyColors val="0"/>
        <c:ser>
          <c:idx val="0"/>
          <c:order val="0"/>
          <c:tx>
            <c:strRef>
              <c:f>Sheet3!$B$3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Sheet3!$A$4:$A$8</c:f>
              <c:strCache>
                <c:ptCount val="4"/>
                <c:pt idx="0">
                  <c:v>2021</c:v>
                </c:pt>
                <c:pt idx="1">
                  <c:v>2022</c:v>
                </c:pt>
                <c:pt idx="2">
                  <c:v>2023</c:v>
                </c:pt>
                <c:pt idx="3">
                  <c:v>2024</c:v>
                </c:pt>
              </c:strCache>
            </c:strRef>
          </c:cat>
          <c:val>
            <c:numRef>
              <c:f>Sheet3!$B$4:$B$8</c:f>
              <c:numCache>
                <c:formatCode>General</c:formatCode>
                <c:ptCount val="4"/>
                <c:pt idx="0">
                  <c:v>96776538.179199994</c:v>
                </c:pt>
                <c:pt idx="1">
                  <c:v>108753358.56</c:v>
                </c:pt>
                <c:pt idx="2">
                  <c:v>111014327.55839995</c:v>
                </c:pt>
                <c:pt idx="3">
                  <c:v>160340001.67987177</c:v>
                </c:pt>
              </c:numCache>
            </c:numRef>
          </c:val>
          <c:smooth val="0"/>
          <c:extLst>
            <c:ext xmlns:c16="http://schemas.microsoft.com/office/drawing/2014/chart" uri="{C3380CC4-5D6E-409C-BE32-E72D297353CC}">
              <c16:uniqueId val="{00000000-F93D-43B3-8D80-3E7B3C6F6DEA}"/>
            </c:ext>
          </c:extLst>
        </c:ser>
        <c:dLbls>
          <c:showLegendKey val="0"/>
          <c:showVal val="0"/>
          <c:showCatName val="0"/>
          <c:showSerName val="0"/>
          <c:showPercent val="0"/>
          <c:showBubbleSize val="0"/>
        </c:dLbls>
        <c:marker val="1"/>
        <c:smooth val="0"/>
        <c:axId val="1767476416"/>
        <c:axId val="1767481696"/>
      </c:lineChart>
      <c:catAx>
        <c:axId val="176747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67481696"/>
        <c:crosses val="autoZero"/>
        <c:auto val="1"/>
        <c:lblAlgn val="ctr"/>
        <c:lblOffset val="100"/>
        <c:noMultiLvlLbl val="0"/>
      </c:catAx>
      <c:valAx>
        <c:axId val="1767481696"/>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476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Dashboard.xlsx 1.xlsx]Sheet3!PivotTable2</c:name>
    <c:fmtId val="2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BY SALESPERSON</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Sheet3!$F$3</c:f>
              <c:strCache>
                <c:ptCount val="1"/>
                <c:pt idx="0">
                  <c:v>Total</c:v>
                </c:pt>
              </c:strCache>
            </c:strRef>
          </c:tx>
          <c:spPr>
            <a:solidFill>
              <a:schemeClr val="accent1"/>
            </a:solidFill>
            <a:ln>
              <a:noFill/>
            </a:ln>
            <a:effectLst/>
            <a:sp3d/>
          </c:spPr>
          <c:invertIfNegative val="0"/>
          <c:cat>
            <c:strRef>
              <c:f>Sheet3!$E$4:$E$14</c:f>
              <c:strCache>
                <c:ptCount val="10"/>
                <c:pt idx="0">
                  <c:v>Salesperson 1</c:v>
                </c:pt>
                <c:pt idx="1">
                  <c:v>Salesperson 10</c:v>
                </c:pt>
                <c:pt idx="2">
                  <c:v>Salesperson 2</c:v>
                </c:pt>
                <c:pt idx="3">
                  <c:v>Salesperson 3</c:v>
                </c:pt>
                <c:pt idx="4">
                  <c:v>Salesperson 4</c:v>
                </c:pt>
                <c:pt idx="5">
                  <c:v>Salesperson 5</c:v>
                </c:pt>
                <c:pt idx="6">
                  <c:v>Salesperson 6</c:v>
                </c:pt>
                <c:pt idx="7">
                  <c:v>Salesperson 7</c:v>
                </c:pt>
                <c:pt idx="8">
                  <c:v>Salesperson 8</c:v>
                </c:pt>
                <c:pt idx="9">
                  <c:v>Salesperson 9</c:v>
                </c:pt>
              </c:strCache>
            </c:strRef>
          </c:cat>
          <c:val>
            <c:numRef>
              <c:f>Sheet3!$F$4:$F$14</c:f>
              <c:numCache>
                <c:formatCode>General</c:formatCode>
                <c:ptCount val="10"/>
                <c:pt idx="0">
                  <c:v>37717688.848767996</c:v>
                </c:pt>
                <c:pt idx="1">
                  <c:v>37581014.665215984</c:v>
                </c:pt>
                <c:pt idx="2">
                  <c:v>64865930.992895998</c:v>
                </c:pt>
                <c:pt idx="3">
                  <c:v>37042038.400256008</c:v>
                </c:pt>
                <c:pt idx="4">
                  <c:v>73995247.361151993</c:v>
                </c:pt>
                <c:pt idx="5">
                  <c:v>29276846.823679999</c:v>
                </c:pt>
                <c:pt idx="6">
                  <c:v>57629535.463295981</c:v>
                </c:pt>
                <c:pt idx="7">
                  <c:v>38967818.394175984</c:v>
                </c:pt>
                <c:pt idx="8">
                  <c:v>72576812.604863971</c:v>
                </c:pt>
                <c:pt idx="9">
                  <c:v>27231292.423168004</c:v>
                </c:pt>
              </c:numCache>
            </c:numRef>
          </c:val>
          <c:extLst>
            <c:ext xmlns:c16="http://schemas.microsoft.com/office/drawing/2014/chart" uri="{C3380CC4-5D6E-409C-BE32-E72D297353CC}">
              <c16:uniqueId val="{00000000-2B1F-4C00-9304-1D1B0AB8306E}"/>
            </c:ext>
          </c:extLst>
        </c:ser>
        <c:dLbls>
          <c:showLegendKey val="0"/>
          <c:showVal val="0"/>
          <c:showCatName val="0"/>
          <c:showSerName val="0"/>
          <c:showPercent val="0"/>
          <c:showBubbleSize val="0"/>
        </c:dLbls>
        <c:gapWidth val="150"/>
        <c:shape val="box"/>
        <c:axId val="412141696"/>
        <c:axId val="412142656"/>
        <c:axId val="0"/>
      </c:bar3DChart>
      <c:catAx>
        <c:axId val="412141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12142656"/>
        <c:crosses val="autoZero"/>
        <c:auto val="1"/>
        <c:lblAlgn val="ctr"/>
        <c:lblOffset val="100"/>
        <c:noMultiLvlLbl val="0"/>
      </c:catAx>
      <c:valAx>
        <c:axId val="41214265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14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Dashboard.xlsx 1.xlsx]Sheet3!PivotTable3</c:name>
    <c:fmtId val="3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2000" baseline="0"/>
              <a:t>SALES BY PRODUCT</a:t>
            </a:r>
            <a:endParaRPr lang="en-US" sz="2000"/>
          </a:p>
        </c:rich>
      </c:tx>
      <c:overlay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Sheet3!$I$3</c:f>
              <c:strCache>
                <c:ptCount val="1"/>
                <c:pt idx="0">
                  <c:v>Total</c:v>
                </c:pt>
              </c:strCache>
            </c:strRef>
          </c:tx>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c:spPr>
          <c:invertIfNegative val="0"/>
          <c:cat>
            <c:strRef>
              <c:f>Sheet3!$H$4:$H$13</c:f>
              <c:strCache>
                <c:ptCount val="9"/>
                <c:pt idx="0">
                  <c:v>Product N1</c:v>
                </c:pt>
                <c:pt idx="1">
                  <c:v>Product N2</c:v>
                </c:pt>
                <c:pt idx="2">
                  <c:v>Product N3</c:v>
                </c:pt>
                <c:pt idx="3">
                  <c:v>Product N4</c:v>
                </c:pt>
                <c:pt idx="4">
                  <c:v>Product N5</c:v>
                </c:pt>
                <c:pt idx="5">
                  <c:v>Product N6</c:v>
                </c:pt>
                <c:pt idx="6">
                  <c:v>Product N7</c:v>
                </c:pt>
                <c:pt idx="7">
                  <c:v>Product N8</c:v>
                </c:pt>
                <c:pt idx="8">
                  <c:v>Product N9</c:v>
                </c:pt>
              </c:strCache>
            </c:strRef>
          </c:cat>
          <c:val>
            <c:numRef>
              <c:f>Sheet3!$I$4:$I$13</c:f>
              <c:numCache>
                <c:formatCode>General</c:formatCode>
                <c:ptCount val="9"/>
                <c:pt idx="0">
                  <c:v>32889140.813312039</c:v>
                </c:pt>
                <c:pt idx="1">
                  <c:v>68979430.933247998</c:v>
                </c:pt>
                <c:pt idx="2">
                  <c:v>38584046.809023999</c:v>
                </c:pt>
                <c:pt idx="3">
                  <c:v>69405218.359999999</c:v>
                </c:pt>
                <c:pt idx="4">
                  <c:v>71503450.668992013</c:v>
                </c:pt>
                <c:pt idx="5">
                  <c:v>54140440.293567978</c:v>
                </c:pt>
                <c:pt idx="6">
                  <c:v>55340609.207808003</c:v>
                </c:pt>
                <c:pt idx="7">
                  <c:v>38777680.029376</c:v>
                </c:pt>
                <c:pt idx="8">
                  <c:v>47264208.862143964</c:v>
                </c:pt>
              </c:numCache>
            </c:numRef>
          </c:val>
          <c:extLst>
            <c:ext xmlns:c16="http://schemas.microsoft.com/office/drawing/2014/chart" uri="{C3380CC4-5D6E-409C-BE32-E72D297353CC}">
              <c16:uniqueId val="{00000000-E151-4C8F-A2DC-8CBE7B5686F8}"/>
            </c:ext>
          </c:extLst>
        </c:ser>
        <c:dLbls>
          <c:showLegendKey val="0"/>
          <c:showVal val="0"/>
          <c:showCatName val="0"/>
          <c:showSerName val="0"/>
          <c:showPercent val="0"/>
          <c:showBubbleSize val="0"/>
        </c:dLbls>
        <c:gapWidth val="100"/>
        <c:axId val="449175264"/>
        <c:axId val="449175744"/>
      </c:barChart>
      <c:catAx>
        <c:axId val="44917526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9175744"/>
        <c:crosses val="autoZero"/>
        <c:auto val="1"/>
        <c:lblAlgn val="ctr"/>
        <c:lblOffset val="100"/>
        <c:noMultiLvlLbl val="0"/>
      </c:catAx>
      <c:valAx>
        <c:axId val="449175744"/>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917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Dashboard.xlsx 1.xlsx]Sheet3!PivotTable4</c:name>
    <c:fmtId val="69"/>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TOP TEN CUSTOMERS BY SALES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Sheet3!$K$4:$K$14</c:f>
              <c:strCache>
                <c:ptCount val="10"/>
                <c:pt idx="0">
                  <c:v>Customer Name 100</c:v>
                </c:pt>
                <c:pt idx="1">
                  <c:v>Customer Name 115</c:v>
                </c:pt>
                <c:pt idx="2">
                  <c:v>Customer Name 131</c:v>
                </c:pt>
                <c:pt idx="3">
                  <c:v>Customer Name 147</c:v>
                </c:pt>
                <c:pt idx="4">
                  <c:v>Customer Name 150</c:v>
                </c:pt>
                <c:pt idx="5">
                  <c:v>Customer Name 154</c:v>
                </c:pt>
                <c:pt idx="6">
                  <c:v>Customer Name 24</c:v>
                </c:pt>
                <c:pt idx="7">
                  <c:v>Customer Name 72</c:v>
                </c:pt>
                <c:pt idx="8">
                  <c:v>Customer Name 86</c:v>
                </c:pt>
                <c:pt idx="9">
                  <c:v>Customer Name 97</c:v>
                </c:pt>
              </c:strCache>
            </c:strRef>
          </c:cat>
          <c:val>
            <c:numRef>
              <c:f>Sheet3!$L$4:$L$14</c:f>
              <c:numCache>
                <c:formatCode>General</c:formatCode>
                <c:ptCount val="10"/>
                <c:pt idx="0">
                  <c:v>5594929.8531840006</c:v>
                </c:pt>
                <c:pt idx="1">
                  <c:v>5697306.1393920006</c:v>
                </c:pt>
                <c:pt idx="2">
                  <c:v>5212820.4817919992</c:v>
                </c:pt>
                <c:pt idx="3">
                  <c:v>5273464.390656</c:v>
                </c:pt>
                <c:pt idx="4">
                  <c:v>10803857.069824001</c:v>
                </c:pt>
                <c:pt idx="5">
                  <c:v>5996733.1007359996</c:v>
                </c:pt>
                <c:pt idx="6">
                  <c:v>5984702.2413439993</c:v>
                </c:pt>
                <c:pt idx="7">
                  <c:v>5991924.2181119993</c:v>
                </c:pt>
                <c:pt idx="8">
                  <c:v>5666278.0195839992</c:v>
                </c:pt>
                <c:pt idx="9">
                  <c:v>6195274.323392</c:v>
                </c:pt>
              </c:numCache>
            </c:numRef>
          </c:val>
          <c:extLst>
            <c:ext xmlns:c16="http://schemas.microsoft.com/office/drawing/2014/chart" uri="{C3380CC4-5D6E-409C-BE32-E72D297353CC}">
              <c16:uniqueId val="{00000000-7E2E-480A-A520-2ACE39CF4ACB}"/>
            </c:ext>
          </c:extLst>
        </c:ser>
        <c:dLbls>
          <c:dLblPos val="inEnd"/>
          <c:showLegendKey val="0"/>
          <c:showVal val="1"/>
          <c:showCatName val="0"/>
          <c:showSerName val="0"/>
          <c:showPercent val="0"/>
          <c:showBubbleSize val="0"/>
        </c:dLbls>
        <c:gapWidth val="199"/>
        <c:axId val="538945072"/>
        <c:axId val="538936432"/>
      </c:barChart>
      <c:catAx>
        <c:axId val="53894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38936432"/>
        <c:crosses val="autoZero"/>
        <c:auto val="1"/>
        <c:lblAlgn val="ctr"/>
        <c:lblOffset val="100"/>
        <c:noMultiLvlLbl val="0"/>
      </c:catAx>
      <c:valAx>
        <c:axId val="53893643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94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Dashboard.xlsx 1.xlsx]Sheet3!PivotTable5</c:name>
    <c:fmtId val="7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TOP</a:t>
            </a:r>
            <a:r>
              <a:rPr lang="en-US" sz="2000" b="1" baseline="0"/>
              <a:t> TEN OFFERS BY SALES</a:t>
            </a:r>
            <a:endParaRPr lang="en-US" sz="2000" b="1"/>
          </a:p>
        </c:rich>
      </c:tx>
      <c:overlay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Sheet3!$C$19</c:f>
              <c:strCache>
                <c:ptCount val="1"/>
                <c:pt idx="0">
                  <c:v>Total</c:v>
                </c:pt>
              </c:strCache>
            </c:strRef>
          </c:tx>
          <c:spPr>
            <a:solidFill>
              <a:schemeClr val="accent1"/>
            </a:solidFill>
            <a:ln>
              <a:noFill/>
            </a:ln>
            <a:effectLst/>
          </c:spPr>
          <c:invertIfNegative val="0"/>
          <c:cat>
            <c:strRef>
              <c:f>Sheet3!$B$20:$B$30</c:f>
              <c:strCache>
                <c:ptCount val="10"/>
                <c:pt idx="0">
                  <c:v>168</c:v>
                </c:pt>
                <c:pt idx="1">
                  <c:v>312</c:v>
                </c:pt>
                <c:pt idx="2">
                  <c:v>403</c:v>
                </c:pt>
                <c:pt idx="3">
                  <c:v>413</c:v>
                </c:pt>
                <c:pt idx="4">
                  <c:v>568</c:v>
                </c:pt>
                <c:pt idx="5">
                  <c:v>577</c:v>
                </c:pt>
                <c:pt idx="6">
                  <c:v>610</c:v>
                </c:pt>
                <c:pt idx="7">
                  <c:v>692</c:v>
                </c:pt>
                <c:pt idx="8">
                  <c:v>839</c:v>
                </c:pt>
                <c:pt idx="9">
                  <c:v>872</c:v>
                </c:pt>
              </c:strCache>
            </c:strRef>
          </c:cat>
          <c:val>
            <c:numRef>
              <c:f>Sheet3!$C$20:$C$30</c:f>
              <c:numCache>
                <c:formatCode>General</c:formatCode>
                <c:ptCount val="10"/>
                <c:pt idx="0">
                  <c:v>22534558.147583999</c:v>
                </c:pt>
                <c:pt idx="1">
                  <c:v>28207774.68364799</c:v>
                </c:pt>
                <c:pt idx="2">
                  <c:v>19750975.141632006</c:v>
                </c:pt>
                <c:pt idx="3">
                  <c:v>20936625.798144005</c:v>
                </c:pt>
                <c:pt idx="4">
                  <c:v>19519517.045504</c:v>
                </c:pt>
                <c:pt idx="5">
                  <c:v>23996555.306752004</c:v>
                </c:pt>
                <c:pt idx="6">
                  <c:v>24011402.158528</c:v>
                </c:pt>
                <c:pt idx="7">
                  <c:v>18989051.565567996</c:v>
                </c:pt>
                <c:pt idx="8">
                  <c:v>48269231.374335974</c:v>
                </c:pt>
                <c:pt idx="9">
                  <c:v>21873540.609536</c:v>
                </c:pt>
              </c:numCache>
            </c:numRef>
          </c:val>
          <c:extLst>
            <c:ext xmlns:c16="http://schemas.microsoft.com/office/drawing/2014/chart" uri="{C3380CC4-5D6E-409C-BE32-E72D297353CC}">
              <c16:uniqueId val="{00000000-5D66-48B3-8266-FB4861F41A44}"/>
            </c:ext>
          </c:extLst>
        </c:ser>
        <c:dLbls>
          <c:showLegendKey val="0"/>
          <c:showVal val="0"/>
          <c:showCatName val="0"/>
          <c:showSerName val="0"/>
          <c:showPercent val="0"/>
          <c:showBubbleSize val="0"/>
        </c:dLbls>
        <c:gapWidth val="219"/>
        <c:overlap val="-27"/>
        <c:axId val="538957552"/>
        <c:axId val="538958512"/>
      </c:barChart>
      <c:catAx>
        <c:axId val="53895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958512"/>
        <c:crosses val="autoZero"/>
        <c:auto val="1"/>
        <c:lblAlgn val="ctr"/>
        <c:lblOffset val="100"/>
        <c:noMultiLvlLbl val="0"/>
      </c:catAx>
      <c:valAx>
        <c:axId val="53895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95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Dashboard.xlsx 1.xlsx]Sheet3!PivotTable6</c:name>
    <c:fmtId val="78"/>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ORDERS Vs OFFERS</a:t>
            </a:r>
          </a:p>
        </c:rich>
      </c:tx>
      <c:overlay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Sheet3!$G$18</c:f>
              <c:strCache>
                <c:ptCount val="1"/>
                <c:pt idx="0">
                  <c:v>Total</c:v>
                </c:pt>
              </c:strCache>
            </c:strRef>
          </c:tx>
          <c:spPr>
            <a:solidFill>
              <a:schemeClr val="accent1"/>
            </a:solidFill>
            <a:ln>
              <a:noFill/>
            </a:ln>
            <a:effectLst/>
            <a:sp3d/>
          </c:spPr>
          <c:invertIfNegative val="0"/>
          <c:cat>
            <c:strRef>
              <c:f>Sheet3!$F$19:$F$29</c:f>
              <c:strCache>
                <c:ptCount val="10"/>
                <c:pt idx="0">
                  <c:v>168</c:v>
                </c:pt>
                <c:pt idx="1">
                  <c:v>312</c:v>
                </c:pt>
                <c:pt idx="2">
                  <c:v>403</c:v>
                </c:pt>
                <c:pt idx="3">
                  <c:v>413</c:v>
                </c:pt>
                <c:pt idx="4">
                  <c:v>568</c:v>
                </c:pt>
                <c:pt idx="5">
                  <c:v>577</c:v>
                </c:pt>
                <c:pt idx="6">
                  <c:v>610</c:v>
                </c:pt>
                <c:pt idx="7">
                  <c:v>692</c:v>
                </c:pt>
                <c:pt idx="8">
                  <c:v>839</c:v>
                </c:pt>
                <c:pt idx="9">
                  <c:v>872</c:v>
                </c:pt>
              </c:strCache>
            </c:strRef>
          </c:cat>
          <c:val>
            <c:numRef>
              <c:f>Sheet3!$G$19:$G$29</c:f>
              <c:numCache>
                <c:formatCode>General</c:formatCode>
                <c:ptCount val="10"/>
                <c:pt idx="0">
                  <c:v>3104</c:v>
                </c:pt>
                <c:pt idx="1">
                  <c:v>38337</c:v>
                </c:pt>
                <c:pt idx="2">
                  <c:v>32402</c:v>
                </c:pt>
                <c:pt idx="3">
                  <c:v>33480</c:v>
                </c:pt>
                <c:pt idx="4">
                  <c:v>13635</c:v>
                </c:pt>
                <c:pt idx="5">
                  <c:v>5775</c:v>
                </c:pt>
                <c:pt idx="6">
                  <c:v>35414</c:v>
                </c:pt>
                <c:pt idx="7">
                  <c:v>10500</c:v>
                </c:pt>
                <c:pt idx="8">
                  <c:v>45446</c:v>
                </c:pt>
                <c:pt idx="9">
                  <c:v>8466</c:v>
                </c:pt>
              </c:numCache>
            </c:numRef>
          </c:val>
          <c:extLst>
            <c:ext xmlns:c16="http://schemas.microsoft.com/office/drawing/2014/chart" uri="{C3380CC4-5D6E-409C-BE32-E72D297353CC}">
              <c16:uniqueId val="{00000000-C84B-4E46-ABE3-F0CC26470201}"/>
            </c:ext>
          </c:extLst>
        </c:ser>
        <c:dLbls>
          <c:showLegendKey val="0"/>
          <c:showVal val="0"/>
          <c:showCatName val="0"/>
          <c:showSerName val="0"/>
          <c:showPercent val="0"/>
          <c:showBubbleSize val="0"/>
        </c:dLbls>
        <c:gapWidth val="150"/>
        <c:shape val="box"/>
        <c:axId val="538966192"/>
        <c:axId val="538986832"/>
        <c:axId val="407313616"/>
      </c:bar3DChart>
      <c:catAx>
        <c:axId val="538966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38986832"/>
        <c:crosses val="autoZero"/>
        <c:auto val="1"/>
        <c:lblAlgn val="ctr"/>
        <c:lblOffset val="100"/>
        <c:noMultiLvlLbl val="0"/>
      </c:catAx>
      <c:valAx>
        <c:axId val="53898683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no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966192"/>
        <c:crosses val="autoZero"/>
        <c:crossBetween val="between"/>
      </c:valAx>
      <c:serAx>
        <c:axId val="4073136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98683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6.png"/><Relationship Id="rId5" Type="http://schemas.openxmlformats.org/officeDocument/2006/relationships/chart" Target="../charts/chart5.xml"/><Relationship Id="rId10" Type="http://schemas.openxmlformats.org/officeDocument/2006/relationships/image" Target="../media/image5.sv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9.svg"/></Relationships>
</file>

<file path=xl/drawings/_rels/drawing3.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11.xml"/><Relationship Id="rId3" Type="http://schemas.openxmlformats.org/officeDocument/2006/relationships/image" Target="../media/image6.png"/><Relationship Id="rId7" Type="http://schemas.openxmlformats.org/officeDocument/2006/relationships/image" Target="../media/image12.png"/><Relationship Id="rId12" Type="http://schemas.openxmlformats.org/officeDocument/2006/relationships/chart" Target="../charts/chart10.xml"/><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11.svg"/><Relationship Id="rId11" Type="http://schemas.openxmlformats.org/officeDocument/2006/relationships/chart" Target="../charts/chart9.xml"/><Relationship Id="rId5" Type="http://schemas.openxmlformats.org/officeDocument/2006/relationships/image" Target="../media/image10.png"/><Relationship Id="rId10" Type="http://schemas.openxmlformats.org/officeDocument/2006/relationships/chart" Target="../charts/chart8.xml"/><Relationship Id="rId4" Type="http://schemas.openxmlformats.org/officeDocument/2006/relationships/image" Target="../media/image7.svg"/><Relationship Id="rId9" Type="http://schemas.openxmlformats.org/officeDocument/2006/relationships/chart" Target="../charts/chart7.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9</xdr:col>
      <xdr:colOff>236220</xdr:colOff>
      <xdr:row>3</xdr:row>
      <xdr:rowOff>60960</xdr:rowOff>
    </xdr:from>
    <xdr:to>
      <xdr:col>11</xdr:col>
      <xdr:colOff>304800</xdr:colOff>
      <xdr:row>17</xdr:row>
      <xdr:rowOff>81915</xdr:rowOff>
    </xdr:to>
    <mc:AlternateContent xmlns:mc="http://schemas.openxmlformats.org/markup-compatibility/2006" xmlns:a14="http://schemas.microsoft.com/office/drawing/2010/main">
      <mc:Choice Requires="a14">
        <xdr:graphicFrame macro="">
          <xdr:nvGraphicFramePr>
            <xdr:cNvPr id="8" name="Salesperson">
              <a:extLst>
                <a:ext uri="{FF2B5EF4-FFF2-40B4-BE49-F238E27FC236}">
                  <a16:creationId xmlns:a16="http://schemas.microsoft.com/office/drawing/2014/main" id="{F19127E4-174A-1316-266B-6005143119A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8054340" y="6096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243840</xdr:colOff>
      <xdr:row>3</xdr:row>
      <xdr:rowOff>91440</xdr:rowOff>
    </xdr:from>
    <xdr:to>
      <xdr:col>12</xdr:col>
      <xdr:colOff>434340</xdr:colOff>
      <xdr:row>17</xdr:row>
      <xdr:rowOff>112395</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0CD5F9A4-570C-D9B0-0F83-7551D504690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867900" y="6400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1363980</xdr:colOff>
      <xdr:row>3</xdr:row>
      <xdr:rowOff>99060</xdr:rowOff>
    </xdr:from>
    <xdr:to>
      <xdr:col>14</xdr:col>
      <xdr:colOff>731520</xdr:colOff>
      <xdr:row>17</xdr:row>
      <xdr:rowOff>120015</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96FC4244-9403-849A-22EE-5D18273B13C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811000" y="6477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1</xdr:row>
      <xdr:rowOff>76200</xdr:rowOff>
    </xdr:from>
    <xdr:to>
      <xdr:col>7</xdr:col>
      <xdr:colOff>381000</xdr:colOff>
      <xdr:row>17</xdr:row>
      <xdr:rowOff>0</xdr:rowOff>
    </xdr:to>
    <xdr:graphicFrame macro="">
      <xdr:nvGraphicFramePr>
        <xdr:cNvPr id="2" name="Chart 1">
          <a:extLst>
            <a:ext uri="{FF2B5EF4-FFF2-40B4-BE49-F238E27FC236}">
              <a16:creationId xmlns:a16="http://schemas.microsoft.com/office/drawing/2014/main" id="{5CD2A992-98E1-440A-B6C7-4BAE9EFFA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xdr:row>
      <xdr:rowOff>0</xdr:rowOff>
    </xdr:from>
    <xdr:to>
      <xdr:col>16</xdr:col>
      <xdr:colOff>304800</xdr:colOff>
      <xdr:row>17</xdr:row>
      <xdr:rowOff>0</xdr:rowOff>
    </xdr:to>
    <xdr:graphicFrame macro="">
      <xdr:nvGraphicFramePr>
        <xdr:cNvPr id="3" name="Chart 2">
          <a:extLst>
            <a:ext uri="{FF2B5EF4-FFF2-40B4-BE49-F238E27FC236}">
              <a16:creationId xmlns:a16="http://schemas.microsoft.com/office/drawing/2014/main" id="{F3FE122B-4E1D-4D69-84EF-D604C3A26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21</xdr:row>
      <xdr:rowOff>0</xdr:rowOff>
    </xdr:from>
    <xdr:to>
      <xdr:col>9</xdr:col>
      <xdr:colOff>304800</xdr:colOff>
      <xdr:row>36</xdr:row>
      <xdr:rowOff>0</xdr:rowOff>
    </xdr:to>
    <xdr:graphicFrame macro="">
      <xdr:nvGraphicFramePr>
        <xdr:cNvPr id="4" name="Chart 3">
          <a:extLst>
            <a:ext uri="{FF2B5EF4-FFF2-40B4-BE49-F238E27FC236}">
              <a16:creationId xmlns:a16="http://schemas.microsoft.com/office/drawing/2014/main" id="{498E6A0E-D4EE-4ECC-AD3C-351379745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21</xdr:row>
      <xdr:rowOff>0</xdr:rowOff>
    </xdr:from>
    <xdr:to>
      <xdr:col>18</xdr:col>
      <xdr:colOff>76200</xdr:colOff>
      <xdr:row>38</xdr:row>
      <xdr:rowOff>7620</xdr:rowOff>
    </xdr:to>
    <xdr:graphicFrame macro="">
      <xdr:nvGraphicFramePr>
        <xdr:cNvPr id="5" name="Chart 4">
          <a:extLst>
            <a:ext uri="{FF2B5EF4-FFF2-40B4-BE49-F238E27FC236}">
              <a16:creationId xmlns:a16="http://schemas.microsoft.com/office/drawing/2014/main" id="{E4F958B6-800F-433C-B4B0-CB2064C97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41</xdr:row>
      <xdr:rowOff>0</xdr:rowOff>
    </xdr:from>
    <xdr:to>
      <xdr:col>8</xdr:col>
      <xdr:colOff>304800</xdr:colOff>
      <xdr:row>56</xdr:row>
      <xdr:rowOff>0</xdr:rowOff>
    </xdr:to>
    <xdr:graphicFrame macro="">
      <xdr:nvGraphicFramePr>
        <xdr:cNvPr id="6" name="Chart 5">
          <a:extLst>
            <a:ext uri="{FF2B5EF4-FFF2-40B4-BE49-F238E27FC236}">
              <a16:creationId xmlns:a16="http://schemas.microsoft.com/office/drawing/2014/main" id="{576ACD04-5BEA-4909-8A3A-36412A4AC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42</xdr:row>
      <xdr:rowOff>0</xdr:rowOff>
    </xdr:from>
    <xdr:to>
      <xdr:col>18</xdr:col>
      <xdr:colOff>304800</xdr:colOff>
      <xdr:row>57</xdr:row>
      <xdr:rowOff>0</xdr:rowOff>
    </xdr:to>
    <xdr:graphicFrame macro="">
      <xdr:nvGraphicFramePr>
        <xdr:cNvPr id="7" name="Chart 6">
          <a:extLst>
            <a:ext uri="{FF2B5EF4-FFF2-40B4-BE49-F238E27FC236}">
              <a16:creationId xmlns:a16="http://schemas.microsoft.com/office/drawing/2014/main" id="{C937E22A-1DBB-43D9-AE99-383375741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373380</xdr:colOff>
      <xdr:row>60</xdr:row>
      <xdr:rowOff>152400</xdr:rowOff>
    </xdr:from>
    <xdr:to>
      <xdr:col>5</xdr:col>
      <xdr:colOff>228600</xdr:colOff>
      <xdr:row>67</xdr:row>
      <xdr:rowOff>7620</xdr:rowOff>
    </xdr:to>
    <xdr:sp macro="" textlink="">
      <xdr:nvSpPr>
        <xdr:cNvPr id="8" name="Rectangle: Rounded Corners 7">
          <a:extLst>
            <a:ext uri="{FF2B5EF4-FFF2-40B4-BE49-F238E27FC236}">
              <a16:creationId xmlns:a16="http://schemas.microsoft.com/office/drawing/2014/main" id="{810104CE-0FAC-FA7B-9AF1-1261C02A7F33}"/>
            </a:ext>
          </a:extLst>
        </xdr:cNvPr>
        <xdr:cNvSpPr/>
      </xdr:nvSpPr>
      <xdr:spPr>
        <a:xfrm>
          <a:off x="1592580" y="11125200"/>
          <a:ext cx="1684020" cy="11353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r>
            <a:rPr lang="en-US" sz="1100"/>
            <a:t>              TOTAL SALE </a:t>
          </a:r>
        </a:p>
        <a:p>
          <a:pPr algn="l"/>
          <a:endParaRPr lang="en-US" sz="1100" b="0" i="0" u="none" strike="noStrike">
            <a:solidFill>
              <a:schemeClr val="lt1"/>
            </a:solidFill>
            <a:effectLst/>
            <a:latin typeface="+mn-lt"/>
            <a:ea typeface="+mn-ea"/>
            <a:cs typeface="+mn-cs"/>
          </a:endParaRPr>
        </a:p>
        <a:p>
          <a:pPr algn="l"/>
          <a:r>
            <a:rPr lang="en-US" sz="1100" b="0" i="0" u="none" strike="noStrike">
              <a:solidFill>
                <a:schemeClr val="lt1"/>
              </a:solidFill>
              <a:effectLst/>
              <a:latin typeface="+mn-lt"/>
              <a:ea typeface="+mn-ea"/>
              <a:cs typeface="+mn-cs"/>
            </a:rPr>
            <a:t>              476K</a:t>
          </a:r>
        </a:p>
      </xdr:txBody>
    </xdr:sp>
    <xdr:clientData/>
  </xdr:twoCellAnchor>
  <xdr:twoCellAnchor>
    <xdr:from>
      <xdr:col>6</xdr:col>
      <xdr:colOff>434340</xdr:colOff>
      <xdr:row>61</xdr:row>
      <xdr:rowOff>91440</xdr:rowOff>
    </xdr:from>
    <xdr:to>
      <xdr:col>9</xdr:col>
      <xdr:colOff>350520</xdr:colOff>
      <xdr:row>67</xdr:row>
      <xdr:rowOff>60960</xdr:rowOff>
    </xdr:to>
    <xdr:sp macro="" textlink="">
      <xdr:nvSpPr>
        <xdr:cNvPr id="9" name="Rectangle: Rounded Corners 8">
          <a:extLst>
            <a:ext uri="{FF2B5EF4-FFF2-40B4-BE49-F238E27FC236}">
              <a16:creationId xmlns:a16="http://schemas.microsoft.com/office/drawing/2014/main" id="{6A29E770-5C17-CDFB-D597-E8835479CAED}"/>
            </a:ext>
          </a:extLst>
        </xdr:cNvPr>
        <xdr:cNvSpPr/>
      </xdr:nvSpPr>
      <xdr:spPr>
        <a:xfrm>
          <a:off x="4091940" y="11247120"/>
          <a:ext cx="1744980" cy="1066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US" sz="1100" b="0" i="0" u="none" strike="noStrike">
            <a:solidFill>
              <a:schemeClr val="lt1"/>
            </a:solidFill>
            <a:effectLst/>
            <a:latin typeface="+mn-lt"/>
            <a:ea typeface="+mn-ea"/>
            <a:cs typeface="+mn-cs"/>
          </a:endParaRPr>
        </a:p>
        <a:p>
          <a:pPr algn="l"/>
          <a:r>
            <a:rPr lang="en-US" sz="1100" b="0" i="0" u="none" strike="noStrike" baseline="0">
              <a:solidFill>
                <a:schemeClr val="lt1"/>
              </a:solidFill>
              <a:effectLst/>
              <a:latin typeface="+mn-lt"/>
              <a:ea typeface="+mn-ea"/>
              <a:cs typeface="+mn-cs"/>
            </a:rPr>
            <a:t>            </a:t>
          </a:r>
          <a:r>
            <a:rPr lang="en-US" sz="1100"/>
            <a:t>TOTAL ORDERS</a:t>
          </a:r>
        </a:p>
        <a:p>
          <a:pPr algn="l"/>
          <a:r>
            <a:rPr lang="en-US" sz="1100" b="0" i="0" u="none" strike="noStrike">
              <a:solidFill>
                <a:schemeClr val="lt1"/>
              </a:solidFill>
              <a:effectLst/>
              <a:latin typeface="+mn-lt"/>
              <a:ea typeface="+mn-ea"/>
              <a:cs typeface="+mn-cs"/>
            </a:rPr>
            <a:t>            </a:t>
          </a:r>
        </a:p>
        <a:p>
          <a:pPr algn="l"/>
          <a:r>
            <a:rPr lang="en-US" sz="1100" b="0" i="0" u="none" strike="noStrike">
              <a:solidFill>
                <a:schemeClr val="lt1"/>
              </a:solidFill>
              <a:effectLst/>
              <a:latin typeface="+mn-lt"/>
              <a:ea typeface="+mn-ea"/>
              <a:cs typeface="+mn-cs"/>
            </a:rPr>
            <a:t>                  44,8732</a:t>
          </a:r>
          <a:r>
            <a:rPr lang="en-US"/>
            <a:t> </a:t>
          </a:r>
          <a:endParaRPr lang="en-US" sz="1100"/>
        </a:p>
      </xdr:txBody>
    </xdr:sp>
    <xdr:clientData/>
  </xdr:twoCellAnchor>
  <xdr:twoCellAnchor>
    <xdr:from>
      <xdr:col>10</xdr:col>
      <xdr:colOff>213360</xdr:colOff>
      <xdr:row>62</xdr:row>
      <xdr:rowOff>15240</xdr:rowOff>
    </xdr:from>
    <xdr:to>
      <xdr:col>13</xdr:col>
      <xdr:colOff>213360</xdr:colOff>
      <xdr:row>67</xdr:row>
      <xdr:rowOff>167640</xdr:rowOff>
    </xdr:to>
    <xdr:sp macro="" textlink="">
      <xdr:nvSpPr>
        <xdr:cNvPr id="10" name="Rectangle: Rounded Corners 9">
          <a:extLst>
            <a:ext uri="{FF2B5EF4-FFF2-40B4-BE49-F238E27FC236}">
              <a16:creationId xmlns:a16="http://schemas.microsoft.com/office/drawing/2014/main" id="{BD06C745-251E-02CD-4B08-DE8490254D8A}"/>
            </a:ext>
          </a:extLst>
        </xdr:cNvPr>
        <xdr:cNvSpPr/>
      </xdr:nvSpPr>
      <xdr:spPr>
        <a:xfrm>
          <a:off x="6309360" y="11353800"/>
          <a:ext cx="1828800" cy="1066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TOTAL OFFERS</a:t>
          </a:r>
          <a:endParaRPr lang="en-US" sz="1100" b="0" i="0" u="none" strike="noStrike">
            <a:solidFill>
              <a:schemeClr val="lt1"/>
            </a:solidFill>
            <a:effectLst/>
            <a:latin typeface="+mn-lt"/>
            <a:ea typeface="+mn-ea"/>
            <a:cs typeface="+mn-cs"/>
          </a:endParaRPr>
        </a:p>
        <a:p>
          <a:pPr algn="l"/>
          <a:r>
            <a:rPr lang="en-US" sz="1100" b="0" i="0" u="none" strike="noStrike">
              <a:solidFill>
                <a:schemeClr val="lt1"/>
              </a:solidFill>
              <a:effectLst/>
              <a:latin typeface="+mn-lt"/>
              <a:ea typeface="+mn-ea"/>
              <a:cs typeface="+mn-cs"/>
            </a:rPr>
            <a:t>      </a:t>
          </a:r>
        </a:p>
        <a:p>
          <a:pPr algn="l"/>
          <a:r>
            <a:rPr lang="en-US" sz="1100" b="0" i="0" u="none" strike="noStrike">
              <a:solidFill>
                <a:schemeClr val="lt1"/>
              </a:solidFill>
              <a:effectLst/>
              <a:latin typeface="+mn-lt"/>
              <a:ea typeface="+mn-ea"/>
              <a:cs typeface="+mn-cs"/>
            </a:rPr>
            <a:t>                  46,3456</a:t>
          </a:r>
          <a:r>
            <a:rPr lang="en-US"/>
            <a:t> </a:t>
          </a:r>
          <a:endParaRPr lang="en-US" sz="1100"/>
        </a:p>
      </xdr:txBody>
    </xdr:sp>
    <xdr:clientData/>
  </xdr:twoCellAnchor>
  <xdr:twoCellAnchor>
    <xdr:from>
      <xdr:col>14</xdr:col>
      <xdr:colOff>167640</xdr:colOff>
      <xdr:row>61</xdr:row>
      <xdr:rowOff>167640</xdr:rowOff>
    </xdr:from>
    <xdr:to>
      <xdr:col>18</xdr:col>
      <xdr:colOff>7620</xdr:colOff>
      <xdr:row>69</xdr:row>
      <xdr:rowOff>22860</xdr:rowOff>
    </xdr:to>
    <xdr:sp macro="" textlink="">
      <xdr:nvSpPr>
        <xdr:cNvPr id="11" name="Rectangle: Rounded Corners 10">
          <a:extLst>
            <a:ext uri="{FF2B5EF4-FFF2-40B4-BE49-F238E27FC236}">
              <a16:creationId xmlns:a16="http://schemas.microsoft.com/office/drawing/2014/main" id="{32AA09CD-9A7D-FF71-2959-92C862F0E635}"/>
            </a:ext>
          </a:extLst>
        </xdr:cNvPr>
        <xdr:cNvSpPr/>
      </xdr:nvSpPr>
      <xdr:spPr>
        <a:xfrm>
          <a:off x="8702040" y="11323320"/>
          <a:ext cx="2278380" cy="1318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r>
            <a:rPr lang="en-US" sz="1100" baseline="0"/>
            <a:t>                 </a:t>
          </a:r>
          <a:r>
            <a:rPr lang="en-US" sz="1100"/>
            <a:t>TOTAL CUSTOMERS</a:t>
          </a:r>
          <a:endParaRPr lang="en-US" sz="1100" b="0" i="0" u="none" strike="noStrike">
            <a:solidFill>
              <a:schemeClr val="lt1"/>
            </a:solidFill>
            <a:effectLst/>
            <a:latin typeface="+mn-lt"/>
            <a:ea typeface="+mn-ea"/>
            <a:cs typeface="+mn-cs"/>
          </a:endParaRPr>
        </a:p>
        <a:p>
          <a:pPr algn="l"/>
          <a:r>
            <a:rPr lang="en-US" sz="1100" b="0" i="0" u="none" strike="noStrike">
              <a:solidFill>
                <a:schemeClr val="lt1"/>
              </a:solidFill>
              <a:effectLst/>
              <a:latin typeface="+mn-lt"/>
              <a:ea typeface="+mn-ea"/>
              <a:cs typeface="+mn-cs"/>
            </a:rPr>
            <a:t>                     </a:t>
          </a:r>
        </a:p>
        <a:p>
          <a:pPr algn="l"/>
          <a:r>
            <a:rPr lang="en-US" sz="1100" b="0" i="0" u="none" strike="noStrike">
              <a:solidFill>
                <a:schemeClr val="lt1"/>
              </a:solidFill>
              <a:effectLst/>
              <a:latin typeface="+mn-lt"/>
              <a:ea typeface="+mn-ea"/>
              <a:cs typeface="+mn-cs"/>
            </a:rPr>
            <a:t>                           200</a:t>
          </a:r>
          <a:r>
            <a:rPr lang="en-US"/>
            <a:t>  </a:t>
          </a:r>
          <a:endParaRPr lang="en-US" sz="1100"/>
        </a:p>
      </xdr:txBody>
    </xdr:sp>
    <xdr:clientData/>
  </xdr:twoCellAnchor>
  <xdr:twoCellAnchor editAs="oneCell">
    <xdr:from>
      <xdr:col>2</xdr:col>
      <xdr:colOff>486156</xdr:colOff>
      <xdr:row>61</xdr:row>
      <xdr:rowOff>91440</xdr:rowOff>
    </xdr:from>
    <xdr:to>
      <xdr:col>3</xdr:col>
      <xdr:colOff>266700</xdr:colOff>
      <xdr:row>64</xdr:row>
      <xdr:rowOff>30480</xdr:rowOff>
    </xdr:to>
    <xdr:pic>
      <xdr:nvPicPr>
        <xdr:cNvPr id="13" name="Graphic 12" descr="Business Growth with solid fill">
          <a:extLst>
            <a:ext uri="{FF2B5EF4-FFF2-40B4-BE49-F238E27FC236}">
              <a16:creationId xmlns:a16="http://schemas.microsoft.com/office/drawing/2014/main" id="{99D3E98F-B68E-B766-0D5E-10EE8B26B6E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05356" y="11247120"/>
          <a:ext cx="390144" cy="487680"/>
        </a:xfrm>
        <a:prstGeom prst="rect">
          <a:avLst/>
        </a:prstGeom>
      </xdr:spPr>
    </xdr:pic>
    <xdr:clientData/>
  </xdr:twoCellAnchor>
  <xdr:twoCellAnchor editAs="oneCell">
    <xdr:from>
      <xdr:col>6</xdr:col>
      <xdr:colOff>441960</xdr:colOff>
      <xdr:row>61</xdr:row>
      <xdr:rowOff>121920</xdr:rowOff>
    </xdr:from>
    <xdr:to>
      <xdr:col>7</xdr:col>
      <xdr:colOff>251460</xdr:colOff>
      <xdr:row>65</xdr:row>
      <xdr:rowOff>53340</xdr:rowOff>
    </xdr:to>
    <xdr:pic>
      <xdr:nvPicPr>
        <xdr:cNvPr id="15" name="Graphic 14" descr="Shopping cart with solid fill">
          <a:extLst>
            <a:ext uri="{FF2B5EF4-FFF2-40B4-BE49-F238E27FC236}">
              <a16:creationId xmlns:a16="http://schemas.microsoft.com/office/drawing/2014/main" id="{679753DC-3EC9-4873-595F-C030C6EECC0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099560" y="11277600"/>
          <a:ext cx="419100" cy="662940"/>
        </a:xfrm>
        <a:prstGeom prst="rect">
          <a:avLst/>
        </a:prstGeom>
      </xdr:spPr>
    </xdr:pic>
    <xdr:clientData/>
  </xdr:twoCellAnchor>
  <xdr:twoCellAnchor editAs="oneCell">
    <xdr:from>
      <xdr:col>10</xdr:col>
      <xdr:colOff>198120</xdr:colOff>
      <xdr:row>62</xdr:row>
      <xdr:rowOff>106680</xdr:rowOff>
    </xdr:from>
    <xdr:to>
      <xdr:col>11</xdr:col>
      <xdr:colOff>121920</xdr:colOff>
      <xdr:row>64</xdr:row>
      <xdr:rowOff>121919</xdr:rowOff>
    </xdr:to>
    <xdr:pic>
      <xdr:nvPicPr>
        <xdr:cNvPr id="17" name="Graphic 16" descr="Money with solid fill">
          <a:extLst>
            <a:ext uri="{FF2B5EF4-FFF2-40B4-BE49-F238E27FC236}">
              <a16:creationId xmlns:a16="http://schemas.microsoft.com/office/drawing/2014/main" id="{13DF62F3-F2C3-B995-4049-A117D9B7C41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294120" y="11445240"/>
          <a:ext cx="533400" cy="380999"/>
        </a:xfrm>
        <a:prstGeom prst="rect">
          <a:avLst/>
        </a:prstGeom>
      </xdr:spPr>
    </xdr:pic>
    <xdr:clientData/>
  </xdr:twoCellAnchor>
  <xdr:twoCellAnchor editAs="oneCell">
    <xdr:from>
      <xdr:col>14</xdr:col>
      <xdr:colOff>175260</xdr:colOff>
      <xdr:row>62</xdr:row>
      <xdr:rowOff>137160</xdr:rowOff>
    </xdr:from>
    <xdr:to>
      <xdr:col>15</xdr:col>
      <xdr:colOff>99060</xdr:colOff>
      <xdr:row>65</xdr:row>
      <xdr:rowOff>76200</xdr:rowOff>
    </xdr:to>
    <xdr:pic>
      <xdr:nvPicPr>
        <xdr:cNvPr id="19" name="Graphic 18" descr="Group of women with solid fill">
          <a:extLst>
            <a:ext uri="{FF2B5EF4-FFF2-40B4-BE49-F238E27FC236}">
              <a16:creationId xmlns:a16="http://schemas.microsoft.com/office/drawing/2014/main" id="{DCBC5F74-0C95-9ABA-926F-E04B66696A9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709660" y="11475720"/>
          <a:ext cx="533400" cy="4876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243840</xdr:colOff>
      <xdr:row>6</xdr:row>
      <xdr:rowOff>0</xdr:rowOff>
    </xdr:from>
    <xdr:to>
      <xdr:col>4</xdr:col>
      <xdr:colOff>594360</xdr:colOff>
      <xdr:row>12</xdr:row>
      <xdr:rowOff>129540</xdr:rowOff>
    </xdr:to>
    <xdr:sp macro="" textlink="">
      <xdr:nvSpPr>
        <xdr:cNvPr id="2" name="Rectangle: Rounded Corners 1">
          <a:extLst>
            <a:ext uri="{FF2B5EF4-FFF2-40B4-BE49-F238E27FC236}">
              <a16:creationId xmlns:a16="http://schemas.microsoft.com/office/drawing/2014/main" id="{8916F27F-4DFE-4707-BE45-F46430A1B9CC}"/>
            </a:ext>
          </a:extLst>
        </xdr:cNvPr>
        <xdr:cNvSpPr/>
      </xdr:nvSpPr>
      <xdr:spPr>
        <a:xfrm>
          <a:off x="243840" y="1379220"/>
          <a:ext cx="2788920" cy="122682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r>
            <a:rPr lang="en-US" sz="1100">
              <a:solidFill>
                <a:sysClr val="windowText" lastClr="000000"/>
              </a:solidFill>
            </a:rPr>
            <a:t>                    </a:t>
          </a:r>
          <a:r>
            <a:rPr lang="en-US" sz="1800">
              <a:solidFill>
                <a:sysClr val="windowText" lastClr="000000"/>
              </a:solidFill>
            </a:rPr>
            <a:t>TOTAL SALE </a:t>
          </a:r>
        </a:p>
        <a:p>
          <a:pPr algn="ctr"/>
          <a:endParaRPr lang="en-US" sz="1800" b="0" i="0" u="none" strike="noStrike">
            <a:solidFill>
              <a:sysClr val="windowText" lastClr="000000"/>
            </a:solidFill>
            <a:effectLst/>
            <a:latin typeface="+mn-lt"/>
            <a:ea typeface="+mn-ea"/>
            <a:cs typeface="+mn-cs"/>
          </a:endParaRPr>
        </a:p>
        <a:p>
          <a:pPr algn="l"/>
          <a:r>
            <a:rPr lang="en-US" sz="1800" b="0" i="0" u="none" strike="noStrike" baseline="0">
              <a:solidFill>
                <a:sysClr val="windowText" lastClr="000000"/>
              </a:solidFill>
              <a:effectLst/>
              <a:latin typeface="+mn-lt"/>
              <a:ea typeface="+mn-ea"/>
              <a:cs typeface="+mn-cs"/>
            </a:rPr>
            <a:t>           </a:t>
          </a:r>
          <a:r>
            <a:rPr lang="en-US" sz="1800" b="0" i="0" u="none" strike="noStrike">
              <a:solidFill>
                <a:sysClr val="windowText" lastClr="000000"/>
              </a:solidFill>
              <a:effectLst/>
              <a:latin typeface="+mn-lt"/>
              <a:ea typeface="+mn-ea"/>
              <a:cs typeface="+mn-cs"/>
            </a:rPr>
            <a:t>    $ 470</a:t>
          </a:r>
          <a:r>
            <a:rPr lang="en-US" sz="1800" b="0" i="0" u="none" strike="noStrike" baseline="0">
              <a:solidFill>
                <a:sysClr val="windowText" lastClr="000000"/>
              </a:solidFill>
              <a:effectLst/>
              <a:latin typeface="+mn-lt"/>
              <a:ea typeface="+mn-ea"/>
              <a:cs typeface="+mn-cs"/>
            </a:rPr>
            <a:t> M</a:t>
          </a:r>
          <a:endParaRPr lang="en-US" sz="1800" b="0" i="0" u="none" strike="noStrike">
            <a:solidFill>
              <a:sysClr val="windowText" lastClr="000000"/>
            </a:solidFill>
            <a:effectLst/>
            <a:latin typeface="+mn-lt"/>
            <a:ea typeface="+mn-ea"/>
            <a:cs typeface="+mn-cs"/>
          </a:endParaRPr>
        </a:p>
      </xdr:txBody>
    </xdr:sp>
    <xdr:clientData/>
  </xdr:twoCellAnchor>
  <xdr:twoCellAnchor>
    <xdr:from>
      <xdr:col>5</xdr:col>
      <xdr:colOff>38100</xdr:colOff>
      <xdr:row>6</xdr:row>
      <xdr:rowOff>0</xdr:rowOff>
    </xdr:from>
    <xdr:to>
      <xdr:col>9</xdr:col>
      <xdr:colOff>441960</xdr:colOff>
      <xdr:row>12</xdr:row>
      <xdr:rowOff>129540</xdr:rowOff>
    </xdr:to>
    <xdr:sp macro="" textlink="">
      <xdr:nvSpPr>
        <xdr:cNvPr id="4" name="Rectangle: Rounded Corners 3">
          <a:extLst>
            <a:ext uri="{FF2B5EF4-FFF2-40B4-BE49-F238E27FC236}">
              <a16:creationId xmlns:a16="http://schemas.microsoft.com/office/drawing/2014/main" id="{10E2082A-ECE4-44EE-BF29-AD817C0B2ADA}"/>
            </a:ext>
          </a:extLst>
        </xdr:cNvPr>
        <xdr:cNvSpPr/>
      </xdr:nvSpPr>
      <xdr:spPr>
        <a:xfrm>
          <a:off x="3086100" y="1379220"/>
          <a:ext cx="2842260" cy="122682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r>
            <a:rPr lang="en-US" sz="1100">
              <a:solidFill>
                <a:sysClr val="windowText" lastClr="000000"/>
              </a:solidFill>
            </a:rPr>
            <a:t>                    </a:t>
          </a:r>
          <a:r>
            <a:rPr lang="en-US" sz="1800">
              <a:solidFill>
                <a:sysClr val="windowText" lastClr="000000"/>
              </a:solidFill>
              <a:effectLst/>
              <a:latin typeface="+mn-lt"/>
              <a:ea typeface="+mn-ea"/>
              <a:cs typeface="+mn-cs"/>
            </a:rPr>
            <a:t>TOTAL ORDERS</a:t>
          </a:r>
          <a:endParaRPr lang="en-US" sz="1800">
            <a:solidFill>
              <a:sysClr val="windowText" lastClr="000000"/>
            </a:solidFill>
            <a:effectLst/>
          </a:endParaRPr>
        </a:p>
        <a:p>
          <a:r>
            <a:rPr lang="en-US" sz="1800" b="0" i="0">
              <a:solidFill>
                <a:sysClr val="windowText" lastClr="000000"/>
              </a:solidFill>
              <a:effectLst/>
              <a:latin typeface="+mn-lt"/>
              <a:ea typeface="+mn-ea"/>
              <a:cs typeface="+mn-cs"/>
            </a:rPr>
            <a:t>            </a:t>
          </a:r>
          <a:endParaRPr lang="en-US" sz="1800">
            <a:solidFill>
              <a:sysClr val="windowText" lastClr="000000"/>
            </a:solidFill>
            <a:effectLst/>
          </a:endParaRPr>
        </a:p>
        <a:p>
          <a:r>
            <a:rPr lang="en-US" sz="1800" b="0" i="0">
              <a:solidFill>
                <a:sysClr val="windowText" lastClr="000000"/>
              </a:solidFill>
              <a:effectLst/>
              <a:latin typeface="+mn-lt"/>
              <a:ea typeface="+mn-ea"/>
              <a:cs typeface="+mn-cs"/>
            </a:rPr>
            <a:t>                  $ 44 K</a:t>
          </a:r>
          <a:r>
            <a:rPr lang="en-US" sz="1800">
              <a:solidFill>
                <a:sysClr val="windowText" lastClr="000000"/>
              </a:solidFill>
              <a:effectLst/>
              <a:latin typeface="+mn-lt"/>
              <a:ea typeface="+mn-ea"/>
              <a:cs typeface="+mn-cs"/>
            </a:rPr>
            <a:t> </a:t>
          </a:r>
          <a:endParaRPr lang="en-US" sz="1800">
            <a:solidFill>
              <a:sysClr val="windowText" lastClr="000000"/>
            </a:solidFill>
            <a:effectLst/>
          </a:endParaRPr>
        </a:p>
        <a:p>
          <a:pPr algn="l"/>
          <a:endParaRPr lang="en-US" sz="1800" b="0" i="0" u="none" strike="noStrike">
            <a:solidFill>
              <a:sysClr val="windowText" lastClr="000000"/>
            </a:solidFill>
            <a:effectLst/>
            <a:latin typeface="+mn-lt"/>
            <a:ea typeface="+mn-ea"/>
            <a:cs typeface="+mn-cs"/>
          </a:endParaRPr>
        </a:p>
      </xdr:txBody>
    </xdr:sp>
    <xdr:clientData/>
  </xdr:twoCellAnchor>
  <xdr:twoCellAnchor editAs="oneCell">
    <xdr:from>
      <xdr:col>5</xdr:col>
      <xdr:colOff>114300</xdr:colOff>
      <xdr:row>7</xdr:row>
      <xdr:rowOff>0</xdr:rowOff>
    </xdr:from>
    <xdr:to>
      <xdr:col>5</xdr:col>
      <xdr:colOff>533400</xdr:colOff>
      <xdr:row>10</xdr:row>
      <xdr:rowOff>114300</xdr:rowOff>
    </xdr:to>
    <xdr:pic>
      <xdr:nvPicPr>
        <xdr:cNvPr id="5" name="Graphic 4" descr="Shopping cart with solid fill">
          <a:extLst>
            <a:ext uri="{FF2B5EF4-FFF2-40B4-BE49-F238E27FC236}">
              <a16:creationId xmlns:a16="http://schemas.microsoft.com/office/drawing/2014/main" id="{9F222467-9480-4014-852B-F625AF77F77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62300" y="1562100"/>
          <a:ext cx="419100" cy="662940"/>
        </a:xfrm>
        <a:prstGeom prst="rect">
          <a:avLst/>
        </a:prstGeom>
      </xdr:spPr>
    </xdr:pic>
    <xdr:clientData/>
  </xdr:twoCellAnchor>
  <xdr:twoCellAnchor>
    <xdr:from>
      <xdr:col>9</xdr:col>
      <xdr:colOff>495300</xdr:colOff>
      <xdr:row>5</xdr:row>
      <xdr:rowOff>137160</xdr:rowOff>
    </xdr:from>
    <xdr:to>
      <xdr:col>14</xdr:col>
      <xdr:colOff>563880</xdr:colOff>
      <xdr:row>12</xdr:row>
      <xdr:rowOff>167640</xdr:rowOff>
    </xdr:to>
    <xdr:sp macro="" textlink="">
      <xdr:nvSpPr>
        <xdr:cNvPr id="6" name="Rectangle: Rounded Corners 5">
          <a:extLst>
            <a:ext uri="{FF2B5EF4-FFF2-40B4-BE49-F238E27FC236}">
              <a16:creationId xmlns:a16="http://schemas.microsoft.com/office/drawing/2014/main" id="{D74BE084-4C80-4BC4-8184-D439BDE06775}"/>
            </a:ext>
          </a:extLst>
        </xdr:cNvPr>
        <xdr:cNvSpPr/>
      </xdr:nvSpPr>
      <xdr:spPr>
        <a:xfrm>
          <a:off x="5981700" y="1333500"/>
          <a:ext cx="3116580" cy="131064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r>
            <a:rPr lang="en-US" sz="1800">
              <a:solidFill>
                <a:sysClr val="windowText" lastClr="000000"/>
              </a:solidFill>
            </a:rPr>
            <a:t>            </a:t>
          </a:r>
          <a:r>
            <a:rPr lang="en-US" sz="1800">
              <a:solidFill>
                <a:sysClr val="windowText" lastClr="000000"/>
              </a:solidFill>
              <a:effectLst/>
              <a:latin typeface="+mn-lt"/>
              <a:ea typeface="+mn-ea"/>
              <a:cs typeface="+mn-cs"/>
            </a:rPr>
            <a:t> TOTAL OFFERS</a:t>
          </a:r>
          <a:endParaRPr lang="en-US" sz="1800">
            <a:solidFill>
              <a:sysClr val="windowText" lastClr="000000"/>
            </a:solidFill>
            <a:effectLst/>
          </a:endParaRPr>
        </a:p>
        <a:p>
          <a:r>
            <a:rPr lang="en-US" sz="1800" b="0" i="0">
              <a:solidFill>
                <a:sysClr val="windowText" lastClr="000000"/>
              </a:solidFill>
              <a:effectLst/>
              <a:latin typeface="+mn-lt"/>
              <a:ea typeface="+mn-ea"/>
              <a:cs typeface="+mn-cs"/>
            </a:rPr>
            <a:t>         </a:t>
          </a:r>
        </a:p>
        <a:p>
          <a:r>
            <a:rPr lang="en-US" sz="1800" b="0" i="0">
              <a:solidFill>
                <a:sysClr val="windowText" lastClr="000000"/>
              </a:solidFill>
              <a:effectLst/>
              <a:latin typeface="+mn-lt"/>
              <a:ea typeface="+mn-ea"/>
              <a:cs typeface="+mn-cs"/>
            </a:rPr>
            <a:t>                 $ 463</a:t>
          </a:r>
          <a:r>
            <a:rPr lang="en-US" sz="1800">
              <a:solidFill>
                <a:sysClr val="windowText" lastClr="000000"/>
              </a:solidFill>
              <a:effectLst/>
              <a:latin typeface="+mn-lt"/>
              <a:ea typeface="+mn-ea"/>
              <a:cs typeface="+mn-cs"/>
            </a:rPr>
            <a:t> K</a:t>
          </a:r>
          <a:endParaRPr lang="en-US" sz="1800">
            <a:solidFill>
              <a:sysClr val="windowText" lastClr="000000"/>
            </a:solidFill>
            <a:effectLst/>
          </a:endParaRPr>
        </a:p>
        <a:p>
          <a:endParaRPr lang="en-US" sz="1800" b="0" i="0" u="none" strike="noStrike">
            <a:solidFill>
              <a:sysClr val="windowText" lastClr="000000"/>
            </a:solidFill>
            <a:effectLst/>
            <a:latin typeface="+mn-lt"/>
            <a:ea typeface="+mn-ea"/>
            <a:cs typeface="+mn-cs"/>
          </a:endParaRPr>
        </a:p>
      </xdr:txBody>
    </xdr:sp>
    <xdr:clientData/>
  </xdr:twoCellAnchor>
  <xdr:twoCellAnchor>
    <xdr:from>
      <xdr:col>15</xdr:col>
      <xdr:colOff>38100</xdr:colOff>
      <xdr:row>5</xdr:row>
      <xdr:rowOff>99060</xdr:rowOff>
    </xdr:from>
    <xdr:to>
      <xdr:col>20</xdr:col>
      <xdr:colOff>304800</xdr:colOff>
      <xdr:row>12</xdr:row>
      <xdr:rowOff>175260</xdr:rowOff>
    </xdr:to>
    <xdr:sp macro="" textlink="">
      <xdr:nvSpPr>
        <xdr:cNvPr id="10" name="Rectangle: Rounded Corners 9">
          <a:extLst>
            <a:ext uri="{FF2B5EF4-FFF2-40B4-BE49-F238E27FC236}">
              <a16:creationId xmlns:a16="http://schemas.microsoft.com/office/drawing/2014/main" id="{2A6E7DD6-1DC6-42D3-9256-ADD8A15BCA57}"/>
            </a:ext>
          </a:extLst>
        </xdr:cNvPr>
        <xdr:cNvSpPr/>
      </xdr:nvSpPr>
      <xdr:spPr>
        <a:xfrm>
          <a:off x="9182100" y="1295400"/>
          <a:ext cx="3314700" cy="135636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aseline="0">
              <a:solidFill>
                <a:sysClr val="windowText" lastClr="000000"/>
              </a:solidFill>
              <a:effectLst/>
              <a:latin typeface="+mn-lt"/>
              <a:ea typeface="+mn-ea"/>
              <a:cs typeface="+mn-cs"/>
            </a:rPr>
            <a:t>   </a:t>
          </a:r>
        </a:p>
        <a:p>
          <a:pPr algn="l"/>
          <a:r>
            <a:rPr lang="en-US" sz="1800">
              <a:solidFill>
                <a:sysClr val="windowText" lastClr="000000"/>
              </a:solidFill>
              <a:effectLst/>
              <a:latin typeface="+mn-lt"/>
              <a:ea typeface="+mn-ea"/>
              <a:cs typeface="+mn-cs"/>
            </a:rPr>
            <a:t>            TOTAL CUSTOMERS</a:t>
          </a:r>
        </a:p>
        <a:p>
          <a:pPr algn="l"/>
          <a:r>
            <a:rPr lang="en-US" sz="1800" b="0" i="0" u="none" strike="noStrike">
              <a:solidFill>
                <a:sysClr val="windowText" lastClr="000000"/>
              </a:solidFill>
              <a:effectLst/>
              <a:latin typeface="+mn-lt"/>
              <a:ea typeface="+mn-ea"/>
              <a:cs typeface="+mn-cs"/>
            </a:rPr>
            <a:t>                   </a:t>
          </a:r>
        </a:p>
        <a:p>
          <a:pPr algn="l"/>
          <a:r>
            <a:rPr lang="en-US" sz="1800" b="0" i="0" u="none" strike="noStrike">
              <a:solidFill>
                <a:sysClr val="windowText" lastClr="000000"/>
              </a:solidFill>
              <a:effectLst/>
              <a:latin typeface="+mn-lt"/>
              <a:ea typeface="+mn-ea"/>
              <a:cs typeface="+mn-cs"/>
            </a:rPr>
            <a:t>                     200</a:t>
          </a:r>
        </a:p>
      </xdr:txBody>
    </xdr:sp>
    <xdr:clientData/>
  </xdr:twoCellAnchor>
  <xdr:twoCellAnchor editAs="oneCell">
    <xdr:from>
      <xdr:col>0</xdr:col>
      <xdr:colOff>342900</xdr:colOff>
      <xdr:row>7</xdr:row>
      <xdr:rowOff>22860</xdr:rowOff>
    </xdr:from>
    <xdr:to>
      <xdr:col>1</xdr:col>
      <xdr:colOff>266700</xdr:colOff>
      <xdr:row>9</xdr:row>
      <xdr:rowOff>38099</xdr:rowOff>
    </xdr:to>
    <xdr:pic>
      <xdr:nvPicPr>
        <xdr:cNvPr id="12" name="Graphic 11" descr="Money with solid fill">
          <a:extLst>
            <a:ext uri="{FF2B5EF4-FFF2-40B4-BE49-F238E27FC236}">
              <a16:creationId xmlns:a16="http://schemas.microsoft.com/office/drawing/2014/main" id="{B817EDEE-00B1-41AC-99E2-C6DE20FA2C7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2900" y="1584960"/>
          <a:ext cx="533400" cy="380999"/>
        </a:xfrm>
        <a:prstGeom prst="rect">
          <a:avLst/>
        </a:prstGeom>
      </xdr:spPr>
    </xdr:pic>
    <xdr:clientData/>
  </xdr:twoCellAnchor>
  <xdr:twoCellAnchor editAs="oneCell">
    <xdr:from>
      <xdr:col>9</xdr:col>
      <xdr:colOff>525780</xdr:colOff>
      <xdr:row>7</xdr:row>
      <xdr:rowOff>0</xdr:rowOff>
    </xdr:from>
    <xdr:to>
      <xdr:col>10</xdr:col>
      <xdr:colOff>586740</xdr:colOff>
      <xdr:row>10</xdr:row>
      <xdr:rowOff>7620</xdr:rowOff>
    </xdr:to>
    <xdr:pic>
      <xdr:nvPicPr>
        <xdr:cNvPr id="14" name="Graphic 13" descr="Research with solid fill">
          <a:extLst>
            <a:ext uri="{FF2B5EF4-FFF2-40B4-BE49-F238E27FC236}">
              <a16:creationId xmlns:a16="http://schemas.microsoft.com/office/drawing/2014/main" id="{7BAC9410-E2F4-09DE-39DF-C01D90D50FD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12180" y="1562100"/>
          <a:ext cx="670560" cy="556260"/>
        </a:xfrm>
        <a:prstGeom prst="rect">
          <a:avLst/>
        </a:prstGeom>
      </xdr:spPr>
    </xdr:pic>
    <xdr:clientData/>
  </xdr:twoCellAnchor>
  <xdr:twoCellAnchor editAs="oneCell">
    <xdr:from>
      <xdr:col>15</xdr:col>
      <xdr:colOff>129540</xdr:colOff>
      <xdr:row>6</xdr:row>
      <xdr:rowOff>160020</xdr:rowOff>
    </xdr:from>
    <xdr:to>
      <xdr:col>16</xdr:col>
      <xdr:colOff>68580</xdr:colOff>
      <xdr:row>10</xdr:row>
      <xdr:rowOff>87630</xdr:rowOff>
    </xdr:to>
    <xdr:pic>
      <xdr:nvPicPr>
        <xdr:cNvPr id="15" name="Graphic 14" descr="Business Growth with solid fill">
          <a:extLst>
            <a:ext uri="{FF2B5EF4-FFF2-40B4-BE49-F238E27FC236}">
              <a16:creationId xmlns:a16="http://schemas.microsoft.com/office/drawing/2014/main" id="{9923C851-9360-41BE-880A-908F455009B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273540" y="1539240"/>
          <a:ext cx="548640" cy="659130"/>
        </a:xfrm>
        <a:prstGeom prst="rect">
          <a:avLst/>
        </a:prstGeom>
      </xdr:spPr>
    </xdr:pic>
    <xdr:clientData/>
  </xdr:twoCellAnchor>
  <xdr:twoCellAnchor>
    <xdr:from>
      <xdr:col>0</xdr:col>
      <xdr:colOff>266700</xdr:colOff>
      <xdr:row>13</xdr:row>
      <xdr:rowOff>15240</xdr:rowOff>
    </xdr:from>
    <xdr:to>
      <xdr:col>7</xdr:col>
      <xdr:colOff>83820</xdr:colOff>
      <xdr:row>27</xdr:row>
      <xdr:rowOff>68580</xdr:rowOff>
    </xdr:to>
    <xdr:graphicFrame macro="">
      <xdr:nvGraphicFramePr>
        <xdr:cNvPr id="16" name="Chart 15">
          <a:extLst>
            <a:ext uri="{FF2B5EF4-FFF2-40B4-BE49-F238E27FC236}">
              <a16:creationId xmlns:a16="http://schemas.microsoft.com/office/drawing/2014/main" id="{685857E2-30F0-4F43-B401-72079C5FA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106680</xdr:colOff>
      <xdr:row>13</xdr:row>
      <xdr:rowOff>15240</xdr:rowOff>
    </xdr:from>
    <xdr:to>
      <xdr:col>14</xdr:col>
      <xdr:colOff>30480</xdr:colOff>
      <xdr:row>27</xdr:row>
      <xdr:rowOff>60960</xdr:rowOff>
    </xdr:to>
    <xdr:graphicFrame macro="">
      <xdr:nvGraphicFramePr>
        <xdr:cNvPr id="17" name="Chart 16">
          <a:extLst>
            <a:ext uri="{FF2B5EF4-FFF2-40B4-BE49-F238E27FC236}">
              <a16:creationId xmlns:a16="http://schemas.microsoft.com/office/drawing/2014/main" id="{EDCA344A-0EE7-4E94-85A3-D16E7F43F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83820</xdr:colOff>
      <xdr:row>13</xdr:row>
      <xdr:rowOff>22860</xdr:rowOff>
    </xdr:from>
    <xdr:to>
      <xdr:col>20</xdr:col>
      <xdr:colOff>251460</xdr:colOff>
      <xdr:row>27</xdr:row>
      <xdr:rowOff>91440</xdr:rowOff>
    </xdr:to>
    <xdr:graphicFrame macro="">
      <xdr:nvGraphicFramePr>
        <xdr:cNvPr id="18" name="Chart 17">
          <a:extLst>
            <a:ext uri="{FF2B5EF4-FFF2-40B4-BE49-F238E27FC236}">
              <a16:creationId xmlns:a16="http://schemas.microsoft.com/office/drawing/2014/main" id="{2A46A3EB-6DDC-4157-B380-3A81F8B2D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259080</xdr:colOff>
      <xdr:row>27</xdr:row>
      <xdr:rowOff>91440</xdr:rowOff>
    </xdr:from>
    <xdr:to>
      <xdr:col>8</xdr:col>
      <xdr:colOff>0</xdr:colOff>
      <xdr:row>42</xdr:row>
      <xdr:rowOff>68580</xdr:rowOff>
    </xdr:to>
    <xdr:graphicFrame macro="">
      <xdr:nvGraphicFramePr>
        <xdr:cNvPr id="19" name="Chart 18">
          <a:extLst>
            <a:ext uri="{FF2B5EF4-FFF2-40B4-BE49-F238E27FC236}">
              <a16:creationId xmlns:a16="http://schemas.microsoft.com/office/drawing/2014/main" id="{2EA79985-5289-4329-860E-EFB035D37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30480</xdr:colOff>
      <xdr:row>27</xdr:row>
      <xdr:rowOff>144780</xdr:rowOff>
    </xdr:from>
    <xdr:to>
      <xdr:col>14</xdr:col>
      <xdr:colOff>281940</xdr:colOff>
      <xdr:row>42</xdr:row>
      <xdr:rowOff>91440</xdr:rowOff>
    </xdr:to>
    <xdr:graphicFrame macro="">
      <xdr:nvGraphicFramePr>
        <xdr:cNvPr id="20" name="Chart 19">
          <a:extLst>
            <a:ext uri="{FF2B5EF4-FFF2-40B4-BE49-F238E27FC236}">
              <a16:creationId xmlns:a16="http://schemas.microsoft.com/office/drawing/2014/main" id="{C06D836F-4F42-4BCF-910F-CAB1A4661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327660</xdr:colOff>
      <xdr:row>27</xdr:row>
      <xdr:rowOff>129540</xdr:rowOff>
    </xdr:from>
    <xdr:to>
      <xdr:col>20</xdr:col>
      <xdr:colOff>320040</xdr:colOff>
      <xdr:row>42</xdr:row>
      <xdr:rowOff>99060</xdr:rowOff>
    </xdr:to>
    <xdr:graphicFrame macro="">
      <xdr:nvGraphicFramePr>
        <xdr:cNvPr id="21" name="Chart 20">
          <a:extLst>
            <a:ext uri="{FF2B5EF4-FFF2-40B4-BE49-F238E27FC236}">
              <a16:creationId xmlns:a16="http://schemas.microsoft.com/office/drawing/2014/main" id="{B044DA40-9605-4346-8371-03EF05CAC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20</xdr:col>
      <xdr:colOff>403860</xdr:colOff>
      <xdr:row>4</xdr:row>
      <xdr:rowOff>175260</xdr:rowOff>
    </xdr:from>
    <xdr:to>
      <xdr:col>23</xdr:col>
      <xdr:colOff>403860</xdr:colOff>
      <xdr:row>18</xdr:row>
      <xdr:rowOff>150495</xdr:rowOff>
    </xdr:to>
    <mc:AlternateContent xmlns:mc="http://schemas.openxmlformats.org/markup-compatibility/2006" xmlns:a14="http://schemas.microsoft.com/office/drawing/2010/main">
      <mc:Choice Requires="a14">
        <xdr:graphicFrame macro="">
          <xdr:nvGraphicFramePr>
            <xdr:cNvPr id="22" name="Salesperson 1">
              <a:extLst>
                <a:ext uri="{FF2B5EF4-FFF2-40B4-BE49-F238E27FC236}">
                  <a16:creationId xmlns:a16="http://schemas.microsoft.com/office/drawing/2014/main" id="{D96B608A-FF8B-48EF-9479-5207796B207D}"/>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2595860" y="1188720"/>
              <a:ext cx="1828800" cy="25355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381000</xdr:colOff>
      <xdr:row>18</xdr:row>
      <xdr:rowOff>137161</xdr:rowOff>
    </xdr:from>
    <xdr:to>
      <xdr:col>23</xdr:col>
      <xdr:colOff>381000</xdr:colOff>
      <xdr:row>28</xdr:row>
      <xdr:rowOff>68581</xdr:rowOff>
    </xdr:to>
    <mc:AlternateContent xmlns:mc="http://schemas.openxmlformats.org/markup-compatibility/2006" xmlns:a14="http://schemas.microsoft.com/office/drawing/2010/main">
      <mc:Choice Requires="a14">
        <xdr:graphicFrame macro="">
          <xdr:nvGraphicFramePr>
            <xdr:cNvPr id="23" name="Year 1">
              <a:extLst>
                <a:ext uri="{FF2B5EF4-FFF2-40B4-BE49-F238E27FC236}">
                  <a16:creationId xmlns:a16="http://schemas.microsoft.com/office/drawing/2014/main" id="{F31CB41E-8C69-450D-A52A-0E6158EC26C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573000" y="3710941"/>
              <a:ext cx="1828800" cy="1760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365760</xdr:colOff>
      <xdr:row>28</xdr:row>
      <xdr:rowOff>83820</xdr:rowOff>
    </xdr:from>
    <xdr:to>
      <xdr:col>23</xdr:col>
      <xdr:colOff>365760</xdr:colOff>
      <xdr:row>42</xdr:row>
      <xdr:rowOff>104775</xdr:rowOff>
    </xdr:to>
    <mc:AlternateContent xmlns:mc="http://schemas.openxmlformats.org/markup-compatibility/2006" xmlns:a14="http://schemas.microsoft.com/office/drawing/2010/main">
      <mc:Choice Requires="a14">
        <xdr:graphicFrame macro="">
          <xdr:nvGraphicFramePr>
            <xdr:cNvPr id="24" name="Product 1">
              <a:extLst>
                <a:ext uri="{FF2B5EF4-FFF2-40B4-BE49-F238E27FC236}">
                  <a16:creationId xmlns:a16="http://schemas.microsoft.com/office/drawing/2014/main" id="{BBF9D8E5-75BC-44EF-B936-1FC3BE73309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557760" y="54864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6.857942245369" backgroundQuery="1" createdVersion="8" refreshedVersion="8" minRefreshableVersion="3" recordCount="0" supportSubquery="1" supportAdvancedDrill="1" xr:uid="{315D4E66-5495-4C0C-B01C-5FBF4FE1CC77}">
  <cacheSource type="external" connectionId="2"/>
  <cacheFields count="7">
    <cacheField name="[Table1].[Customer].[Customer]" caption="Customer" numFmtId="0" hierarchy="3" level="1">
      <sharedItems count="10">
        <s v="Customer Name 100"/>
        <s v="Customer Name 115"/>
        <s v="Customer Name 131"/>
        <s v="Customer Name 147"/>
        <s v="Customer Name 150"/>
        <s v="Customer Name 154"/>
        <s v="Customer Name 24"/>
        <s v="Customer Name 72"/>
        <s v="Customer Name 86"/>
        <s v="Customer Name 97"/>
      </sharedItems>
    </cacheField>
    <cacheField name="[Table1].[Offers].[Offers]" caption="Offers" numFmtId="0" hierarchy="6" level="1">
      <sharedItems containsSemiMixedTypes="0" containsString="0" containsNumber="1" containsInteger="1" minValue="168" maxValue="872" count="10">
        <n v="168"/>
        <n v="312"/>
        <n v="403"/>
        <n v="413"/>
        <n v="568"/>
        <n v="577"/>
        <n v="610"/>
        <n v="692"/>
        <n v="839"/>
        <n v="872"/>
      </sharedItems>
      <extLst>
        <ext xmlns:x15="http://schemas.microsoft.com/office/spreadsheetml/2010/11/main" uri="{4F2E5C28-24EA-4eb8-9CBF-B6C8F9C3D259}">
          <x15:cachedUniqueNames>
            <x15:cachedUniqueName index="0" name="[Table1].[Offers].&amp;[168]"/>
            <x15:cachedUniqueName index="1" name="[Table1].[Offers].&amp;[312]"/>
            <x15:cachedUniqueName index="2" name="[Table1].[Offers].&amp;[403]"/>
            <x15:cachedUniqueName index="3" name="[Table1].[Offers].&amp;[413]"/>
            <x15:cachedUniqueName index="4" name="[Table1].[Offers].&amp;[568]"/>
            <x15:cachedUniqueName index="5" name="[Table1].[Offers].&amp;[577]"/>
            <x15:cachedUniqueName index="6" name="[Table1].[Offers].&amp;[610]"/>
            <x15:cachedUniqueName index="7" name="[Table1].[Offers].&amp;[692]"/>
            <x15:cachedUniqueName index="8" name="[Table1].[Offers].&amp;[839]"/>
            <x15:cachedUniqueName index="9" name="[Table1].[Offers].&amp;[872]"/>
          </x15:cachedUniqueNames>
        </ext>
      </extLst>
    </cacheField>
    <cacheField name="[Measures].[Sum of Amount]" caption="Sum of Amount" numFmtId="0" hierarchy="11" level="32767"/>
    <cacheField name="[Measures].[Sum of Orders]" caption="Sum of Orders" numFmtId="0" hierarchy="13" level="32767"/>
    <cacheField name="[Measures].[Sum of Offers]" caption="Sum of Offers" numFmtId="0" hierarchy="12" level="32767"/>
    <cacheField name="[Measures].[Distinct Count of Customer]" caption="Distinct Count of Customer" numFmtId="0" hierarchy="15" level="32767"/>
    <cacheField name="[Table1].[Product].[Product]" caption="Product" numFmtId="0" hierarchy="4" level="1">
      <sharedItems containsSemiMixedTypes="0" containsNonDate="0" containsString="0"/>
    </cacheField>
  </cacheFields>
  <cacheHierarchies count="16">
    <cacheHierarchy uniqueName="[Table1].[Year]" caption="Year" attribute="1" defaultMemberUniqueName="[Table1].[Year].[All]" allUniqueName="[Table1].[Year].[All]" dimensionUniqueName="[Table1]" displayFolder="" count="2" memberValueDatatype="20" unbalanced="0"/>
    <cacheHierarchy uniqueName="[Table1].[Salesperson]" caption="Salesperson" attribute="1" defaultMemberUniqueName="[Table1].[Salesperson].[All]" allUniqueName="[Table1].[Salesperson].[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caption="Customer" attribute="1" defaultMemberUniqueName="[Table1].[Customer].[All]" allUniqueName="[Table1].[Customer].[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6"/>
      </fieldsUsage>
    </cacheHierarchy>
    <cacheHierarchy uniqueName="[Table1].[Amount]" caption="Amount" attribute="1" defaultMemberUniqueName="[Table1].[Amount].[All]" allUniqueName="[Table1].[Amount].[All]" dimensionUniqueName="[Table1]" displayFolder="" count="2" memberValueDatatype="5" unbalanced="0"/>
    <cacheHierarchy uniqueName="[Table1].[Offers]" caption="Offers" attribute="1" defaultMemberUniqueName="[Table1].[Offers].[All]" allUniqueName="[Table1].[Offers].[All]" dimensionUniqueName="[Table1]" displayFolder="" count="2" memberValueDatatype="20" unbalanced="0">
      <fieldsUsage count="2">
        <fieldUsage x="-1"/>
        <fieldUsage x="1"/>
      </fieldsUsage>
    </cacheHierarchy>
    <cacheHierarchy uniqueName="[Table1].[Orders]" caption="Orders" attribute="1" defaultMemberUniqueName="[Table1].[Orders].[All]" allUniqueName="[Table1].[Orders].[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Offers]" caption="Sum of Offers" measure="1" displayFolder="" measureGroup="Table1" count="0" oneField="1" hidden="1">
      <fieldsUsage count="1">
        <fieldUsage x="4"/>
      </fieldsUsage>
      <extLst>
        <ext xmlns:x15="http://schemas.microsoft.com/office/spreadsheetml/2010/11/main" uri="{B97F6D7D-B522-45F9-BDA1-12C45D357490}">
          <x15:cacheHierarchy aggregatedColumn="6"/>
        </ext>
      </extLst>
    </cacheHierarchy>
    <cacheHierarchy uniqueName="[Measures].[Sum of Orders]" caption="Sum of Orders" measure="1" displayFolder="" measureGroup="Table1"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Table1" count="0" oneField="1" hidden="1">
      <fieldsUsage count="1">
        <fieldUsage x="5"/>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6.857942708331" backgroundQuery="1" createdVersion="8" refreshedVersion="8" minRefreshableVersion="3" recordCount="0" supportSubquery="1" supportAdvancedDrill="1" xr:uid="{478373CF-86F3-4D3F-9637-E9CC042CC39F}">
  <cacheSource type="external" connectionId="2"/>
  <cacheFields count="3">
    <cacheField name="[Table1].[Year].[Year]" caption="Year" numFmtId="0"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Table1].[Year].&amp;[2021]"/>
            <x15:cachedUniqueName index="1" name="[Table1].[Year].&amp;[2022]"/>
            <x15:cachedUniqueName index="2" name="[Table1].[Year].&amp;[2023]"/>
            <x15:cachedUniqueName index="3" name="[Table1].[Year].&amp;[2024]"/>
          </x15:cachedUniqueNames>
        </ext>
      </extLst>
    </cacheField>
    <cacheField name="[Measures].[Sum of Amount]" caption="Sum of Amount" numFmtId="0" hierarchy="11" level="32767"/>
    <cacheField name="[Table1].[Product].[Product]" caption="Product" numFmtId="0" hierarchy="4" level="1">
      <sharedItems containsSemiMixedTypes="0" containsNonDate="0" containsString="0"/>
    </cacheField>
  </cacheFields>
  <cacheHierarchies count="16">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Salesperson]" caption="Salesperson" attribute="1" defaultMemberUniqueName="[Table1].[Salesperson].[All]" allUniqueName="[Table1].[Salesperson].[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caption="Customer" attribute="1" defaultMemberUniqueName="[Table1].[Customer].[All]" allUniqueName="[Table1].[Customer].[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Amount]" caption="Amount" attribute="1" defaultMemberUniqueName="[Table1].[Amount].[All]" allUniqueName="[Table1].[Amount].[All]" dimensionUniqueName="[Table1]" displayFolder="" count="0" memberValueDatatype="5" unbalanced="0"/>
    <cacheHierarchy uniqueName="[Table1].[Offers]" caption="Offers" attribute="1" defaultMemberUniqueName="[Table1].[Offers].[All]" allUniqueName="[Table1].[Offers].[All]" dimensionUniqueName="[Table1]" displayFolder="" count="0" memberValueDatatype="20" unbalanced="0"/>
    <cacheHierarchy uniqueName="[Table1].[Orders]" caption="Orders" attribute="1" defaultMemberUniqueName="[Table1].[Orders].[All]" allUniqueName="[Table1].[Order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Offers]" caption="Sum of Offers" measure="1" displayFolder="" measureGroup="Table1" count="0" hidden="1">
      <extLst>
        <ext xmlns:x15="http://schemas.microsoft.com/office/spreadsheetml/2010/11/main" uri="{B97F6D7D-B522-45F9-BDA1-12C45D357490}">
          <x15:cacheHierarchy aggregatedColumn="6"/>
        </ext>
      </extLst>
    </cacheHierarchy>
    <cacheHierarchy uniqueName="[Measures].[Sum of Orders]" caption="Sum of Orders" measure="1" displayFolder="" measureGroup="Table1" count="0" hidden="1">
      <extLst>
        <ext xmlns:x15="http://schemas.microsoft.com/office/spreadsheetml/2010/11/main" uri="{B97F6D7D-B522-45F9-BDA1-12C45D357490}">
          <x15:cacheHierarchy aggregatedColumn="7"/>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6.857943287039" backgroundQuery="1" createdVersion="8" refreshedVersion="8" minRefreshableVersion="3" recordCount="0" supportSubquery="1" supportAdvancedDrill="1" xr:uid="{AAA9FFE6-0EE8-4233-BE8C-F3C71B1DAF01}">
  <cacheSource type="external" connectionId="2"/>
  <cacheFields count="3">
    <cacheField name="[Measures].[Sum of Amount]" caption="Sum of Amount" numFmtId="0" hierarchy="11" level="32767"/>
    <cacheField name="[Table1].[Salesperson].[Salesperson]" caption="Salesperson" numFmtId="0" hierarchy="1" level="1">
      <sharedItems count="10">
        <s v="Salesperson 1"/>
        <s v="Salesperson 10"/>
        <s v="Salesperson 2"/>
        <s v="Salesperson 3"/>
        <s v="Salesperson 4"/>
        <s v="Salesperson 5"/>
        <s v="Salesperson 6"/>
        <s v="Salesperson 7"/>
        <s v="Salesperson 8"/>
        <s v="Salesperson 9"/>
      </sharedItems>
    </cacheField>
    <cacheField name="[Table1].[Product].[Product]" caption="Product" numFmtId="0" hierarchy="4" level="1">
      <sharedItems containsSemiMixedTypes="0" containsNonDate="0" containsString="0"/>
    </cacheField>
  </cacheFields>
  <cacheHierarchies count="16">
    <cacheHierarchy uniqueName="[Table1].[Year]" caption="Year" attribute="1" defaultMemberUniqueName="[Table1].[Year].[All]" allUniqueName="[Table1].[Year].[All]" dimensionUniqueName="[Table1]" displayFolder="" count="0" memberValueDatatype="2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1"/>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caption="Customer" attribute="1" defaultMemberUniqueName="[Table1].[Customer].[All]" allUniqueName="[Table1].[Customer].[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Amount]" caption="Amount" attribute="1" defaultMemberUniqueName="[Table1].[Amount].[All]" allUniqueName="[Table1].[Amount].[All]" dimensionUniqueName="[Table1]" displayFolder="" count="0" memberValueDatatype="5" unbalanced="0"/>
    <cacheHierarchy uniqueName="[Table1].[Offers]" caption="Offers" attribute="1" defaultMemberUniqueName="[Table1].[Offers].[All]" allUniqueName="[Table1].[Offers].[All]" dimensionUniqueName="[Table1]" displayFolder="" count="0" memberValueDatatype="20" unbalanced="0"/>
    <cacheHierarchy uniqueName="[Table1].[Orders]" caption="Orders" attribute="1" defaultMemberUniqueName="[Table1].[Orders].[All]" allUniqueName="[Table1].[Order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Offers]" caption="Sum of Offers" measure="1" displayFolder="" measureGroup="Table1" count="0" hidden="1">
      <extLst>
        <ext xmlns:x15="http://schemas.microsoft.com/office/spreadsheetml/2010/11/main" uri="{B97F6D7D-B522-45F9-BDA1-12C45D357490}">
          <x15:cacheHierarchy aggregatedColumn="6"/>
        </ext>
      </extLst>
    </cacheHierarchy>
    <cacheHierarchy uniqueName="[Measures].[Sum of Orders]" caption="Sum of Orders" measure="1" displayFolder="" measureGroup="Table1" count="0" hidden="1">
      <extLst>
        <ext xmlns:x15="http://schemas.microsoft.com/office/spreadsheetml/2010/11/main" uri="{B97F6D7D-B522-45F9-BDA1-12C45D357490}">
          <x15:cacheHierarchy aggregatedColumn="7"/>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6.85794386574" backgroundQuery="1" createdVersion="8" refreshedVersion="8" minRefreshableVersion="3" recordCount="0" supportSubquery="1" supportAdvancedDrill="1" xr:uid="{1775907B-FF92-4B4E-98A0-DFD5E4F9049F}">
  <cacheSource type="external" connectionId="2"/>
  <cacheFields count="2">
    <cacheField name="[Measures].[Sum of Amount]" caption="Sum of Amount" numFmtId="0" hierarchy="11" level="32767"/>
    <cacheField name="[Table1].[Product].[Product]" caption="Product" numFmtId="0" hierarchy="4" level="1">
      <sharedItems count="9">
        <s v="Product N1"/>
        <s v="Product N2"/>
        <s v="Product N3"/>
        <s v="Product N4"/>
        <s v="Product N5"/>
        <s v="Product N6"/>
        <s v="Product N7"/>
        <s v="Product N8"/>
        <s v="Product N9"/>
      </sharedItems>
    </cacheField>
  </cacheFields>
  <cacheHierarchies count="16">
    <cacheHierarchy uniqueName="[Table1].[Year]" caption="Year" attribute="1" defaultMemberUniqueName="[Table1].[Year].[All]" allUniqueName="[Table1].[Year].[All]" dimensionUniqueName="[Table1]" displayFolder="" count="0" memberValueDatatype="20" unbalanced="0"/>
    <cacheHierarchy uniqueName="[Table1].[Salesperson]" caption="Salesperson" attribute="1" defaultMemberUniqueName="[Table1].[Salesperson].[All]" allUniqueName="[Table1].[Salesperson].[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caption="Customer" attribute="1" defaultMemberUniqueName="[Table1].[Customer].[All]" allUniqueName="[Table1].[Customer].[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Amount]" caption="Amount" attribute="1" defaultMemberUniqueName="[Table1].[Amount].[All]" allUniqueName="[Table1].[Amount].[All]" dimensionUniqueName="[Table1]" displayFolder="" count="0" memberValueDatatype="5" unbalanced="0"/>
    <cacheHierarchy uniqueName="[Table1].[Offers]" caption="Offers" attribute="1" defaultMemberUniqueName="[Table1].[Offers].[All]" allUniqueName="[Table1].[Offers].[All]" dimensionUniqueName="[Table1]" displayFolder="" count="0" memberValueDatatype="20" unbalanced="0"/>
    <cacheHierarchy uniqueName="[Table1].[Orders]" caption="Orders" attribute="1" defaultMemberUniqueName="[Table1].[Orders].[All]" allUniqueName="[Table1].[Order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Offers]" caption="Sum of Offers" measure="1" displayFolder="" measureGroup="Table1" count="0" hidden="1">
      <extLst>
        <ext xmlns:x15="http://schemas.microsoft.com/office/spreadsheetml/2010/11/main" uri="{B97F6D7D-B522-45F9-BDA1-12C45D357490}">
          <x15:cacheHierarchy aggregatedColumn="6"/>
        </ext>
      </extLst>
    </cacheHierarchy>
    <cacheHierarchy uniqueName="[Measures].[Sum of Orders]" caption="Sum of Orders" measure="1" displayFolder="" measureGroup="Table1" count="0" hidden="1">
      <extLst>
        <ext xmlns:x15="http://schemas.microsoft.com/office/spreadsheetml/2010/11/main" uri="{B97F6D7D-B522-45F9-BDA1-12C45D357490}">
          <x15:cacheHierarchy aggregatedColumn="7"/>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6.857944560186" backgroundQuery="1" createdVersion="8" refreshedVersion="8" minRefreshableVersion="3" recordCount="0" supportSubquery="1" supportAdvancedDrill="1" xr:uid="{B98F1529-022E-4049-9B89-0536A22AF50F}">
  <cacheSource type="external" connectionId="2"/>
  <cacheFields count="3">
    <cacheField name="[Measures].[Sum of Amount]" caption="Sum of Amount" numFmtId="0" hierarchy="11" level="32767"/>
    <cacheField name="[Table1].[Customer].[Customer]" caption="Customer" numFmtId="0" hierarchy="3" level="1">
      <sharedItems count="10">
        <s v="Customer Name 100"/>
        <s v="Customer Name 115"/>
        <s v="Customer Name 131"/>
        <s v="Customer Name 147"/>
        <s v="Customer Name 150"/>
        <s v="Customer Name 154"/>
        <s v="Customer Name 24"/>
        <s v="Customer Name 72"/>
        <s v="Customer Name 86"/>
        <s v="Customer Name 97"/>
      </sharedItems>
    </cacheField>
    <cacheField name="[Table1].[Product].[Product]" caption="Product" numFmtId="0" hierarchy="4" level="1">
      <sharedItems containsSemiMixedTypes="0" containsNonDate="0" containsString="0"/>
    </cacheField>
  </cacheFields>
  <cacheHierarchies count="16">
    <cacheHierarchy uniqueName="[Table1].[Year]" caption="Year" attribute="1" defaultMemberUniqueName="[Table1].[Year].[All]" allUniqueName="[Table1].[Year].[All]" dimensionUniqueName="[Table1]" displayFolder="" count="0" memberValueDatatype="20" unbalanced="0"/>
    <cacheHierarchy uniqueName="[Table1].[Salesperson]" caption="Salesperson" attribute="1" defaultMemberUniqueName="[Table1].[Salesperson].[All]" allUniqueName="[Table1].[Salesperson].[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caption="Customer" attribute="1" defaultMemberUniqueName="[Table1].[Customer].[All]" allUniqueName="[Table1].[Customer].[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Amount]" caption="Amount" attribute="1" defaultMemberUniqueName="[Table1].[Amount].[All]" allUniqueName="[Table1].[Amount].[All]" dimensionUniqueName="[Table1]" displayFolder="" count="0" memberValueDatatype="5" unbalanced="0"/>
    <cacheHierarchy uniqueName="[Table1].[Offers]" caption="Offers" attribute="1" defaultMemberUniqueName="[Table1].[Offers].[All]" allUniqueName="[Table1].[Offers].[All]" dimensionUniqueName="[Table1]" displayFolder="" count="0" memberValueDatatype="20" unbalanced="0"/>
    <cacheHierarchy uniqueName="[Table1].[Orders]" caption="Orders" attribute="1" defaultMemberUniqueName="[Table1].[Orders].[All]" allUniqueName="[Table1].[Order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Offers]" caption="Sum of Offers" measure="1" displayFolder="" measureGroup="Table1" count="0" hidden="1">
      <extLst>
        <ext xmlns:x15="http://schemas.microsoft.com/office/spreadsheetml/2010/11/main" uri="{B97F6D7D-B522-45F9-BDA1-12C45D357490}">
          <x15:cacheHierarchy aggregatedColumn="6"/>
        </ext>
      </extLst>
    </cacheHierarchy>
    <cacheHierarchy uniqueName="[Measures].[Sum of Orders]" caption="Sum of Orders" measure="1" displayFolder="" measureGroup="Table1" count="0" hidden="1">
      <extLst>
        <ext xmlns:x15="http://schemas.microsoft.com/office/spreadsheetml/2010/11/main" uri="{B97F6D7D-B522-45F9-BDA1-12C45D357490}">
          <x15:cacheHierarchy aggregatedColumn="7"/>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6.857945138887" backgroundQuery="1" createdVersion="8" refreshedVersion="8" minRefreshableVersion="3" recordCount="0" supportSubquery="1" supportAdvancedDrill="1" xr:uid="{90C8F353-505D-4921-B59B-326484D3BDC4}">
  <cacheSource type="external" connectionId="2"/>
  <cacheFields count="4">
    <cacheField name="[Measures].[Sum of Amount]" caption="Sum of Amount" numFmtId="0" hierarchy="11" level="32767"/>
    <cacheField name="[Table1].[Customer].[Customer]" caption="Customer" numFmtId="0" hierarchy="3" level="1">
      <sharedItems count="10">
        <s v="Customer Name 100"/>
        <s v="Customer Name 115"/>
        <s v="Customer Name 131"/>
        <s v="Customer Name 147"/>
        <s v="Customer Name 150"/>
        <s v="Customer Name 154"/>
        <s v="Customer Name 24"/>
        <s v="Customer Name 72"/>
        <s v="Customer Name 86"/>
        <s v="Customer Name 97"/>
      </sharedItems>
    </cacheField>
    <cacheField name="[Table1].[Offers].[Offers]" caption="Offers" numFmtId="0" hierarchy="6" level="1">
      <sharedItems containsSemiMixedTypes="0" containsString="0" containsNumber="1" containsInteger="1" minValue="168" maxValue="872" count="10">
        <n v="168"/>
        <n v="312"/>
        <n v="403"/>
        <n v="413"/>
        <n v="568"/>
        <n v="577"/>
        <n v="610"/>
        <n v="692"/>
        <n v="839"/>
        <n v="872"/>
      </sharedItems>
      <extLst>
        <ext xmlns:x15="http://schemas.microsoft.com/office/spreadsheetml/2010/11/main" uri="{4F2E5C28-24EA-4eb8-9CBF-B6C8F9C3D259}">
          <x15:cachedUniqueNames>
            <x15:cachedUniqueName index="0" name="[Table1].[Offers].&amp;[168]"/>
            <x15:cachedUniqueName index="1" name="[Table1].[Offers].&amp;[312]"/>
            <x15:cachedUniqueName index="2" name="[Table1].[Offers].&amp;[403]"/>
            <x15:cachedUniqueName index="3" name="[Table1].[Offers].&amp;[413]"/>
            <x15:cachedUniqueName index="4" name="[Table1].[Offers].&amp;[568]"/>
            <x15:cachedUniqueName index="5" name="[Table1].[Offers].&amp;[577]"/>
            <x15:cachedUniqueName index="6" name="[Table1].[Offers].&amp;[610]"/>
            <x15:cachedUniqueName index="7" name="[Table1].[Offers].&amp;[692]"/>
            <x15:cachedUniqueName index="8" name="[Table1].[Offers].&amp;[839]"/>
            <x15:cachedUniqueName index="9" name="[Table1].[Offers].&amp;[872]"/>
          </x15:cachedUniqueNames>
        </ext>
      </extLst>
    </cacheField>
    <cacheField name="[Table1].[Product].[Product]" caption="Product" numFmtId="0" hierarchy="4" level="1">
      <sharedItems containsSemiMixedTypes="0" containsNonDate="0" containsString="0"/>
    </cacheField>
  </cacheFields>
  <cacheHierarchies count="16">
    <cacheHierarchy uniqueName="[Table1].[Year]" caption="Year" attribute="1" defaultMemberUniqueName="[Table1].[Year].[All]" allUniqueName="[Table1].[Year].[All]" dimensionUniqueName="[Table1]" displayFolder="" count="0" memberValueDatatype="20" unbalanced="0"/>
    <cacheHierarchy uniqueName="[Table1].[Salesperson]" caption="Salesperson" attribute="1" defaultMemberUniqueName="[Table1].[Salesperson].[All]" allUniqueName="[Table1].[Salesperson].[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caption="Customer" attribute="1" defaultMemberUniqueName="[Table1].[Customer].[All]" allUniqueName="[Table1].[Customer].[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3"/>
      </fieldsUsage>
    </cacheHierarchy>
    <cacheHierarchy uniqueName="[Table1].[Amount]" caption="Amount" attribute="1" defaultMemberUniqueName="[Table1].[Amount].[All]" allUniqueName="[Table1].[Amount].[All]" dimensionUniqueName="[Table1]" displayFolder="" count="0" memberValueDatatype="5" unbalanced="0"/>
    <cacheHierarchy uniqueName="[Table1].[Offers]" caption="Offers" attribute="1" defaultMemberUniqueName="[Table1].[Offers].[All]" allUniqueName="[Table1].[Offers].[All]" dimensionUniqueName="[Table1]" displayFolder="" count="2" memberValueDatatype="20" unbalanced="0">
      <fieldsUsage count="2">
        <fieldUsage x="-1"/>
        <fieldUsage x="2"/>
      </fieldsUsage>
    </cacheHierarchy>
    <cacheHierarchy uniqueName="[Table1].[Orders]" caption="Orders" attribute="1" defaultMemberUniqueName="[Table1].[Orders].[All]" allUniqueName="[Table1].[Order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Offers]" caption="Sum of Offers" measure="1" displayFolder="" measureGroup="Table1" count="0" hidden="1">
      <extLst>
        <ext xmlns:x15="http://schemas.microsoft.com/office/spreadsheetml/2010/11/main" uri="{B97F6D7D-B522-45F9-BDA1-12C45D357490}">
          <x15:cacheHierarchy aggregatedColumn="6"/>
        </ext>
      </extLst>
    </cacheHierarchy>
    <cacheHierarchy uniqueName="[Measures].[Sum of Orders]" caption="Sum of Orders" measure="1" displayFolder="" measureGroup="Table1" count="0" hidden="1">
      <extLst>
        <ext xmlns:x15="http://schemas.microsoft.com/office/spreadsheetml/2010/11/main" uri="{B97F6D7D-B522-45F9-BDA1-12C45D357490}">
          <x15:cacheHierarchy aggregatedColumn="7"/>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6.857945833333" backgroundQuery="1" createdVersion="8" refreshedVersion="8" minRefreshableVersion="3" recordCount="0" supportSubquery="1" supportAdvancedDrill="1" xr:uid="{B49192FD-2A51-40F8-B353-F8882D944C37}">
  <cacheSource type="external" connectionId="2"/>
  <cacheFields count="4">
    <cacheField name="[Table1].[Customer].[Customer]" caption="Customer" numFmtId="0" hierarchy="3" level="1">
      <sharedItems count="10">
        <s v="Customer Name 100"/>
        <s v="Customer Name 115"/>
        <s v="Customer Name 131"/>
        <s v="Customer Name 147"/>
        <s v="Customer Name 150"/>
        <s v="Customer Name 154"/>
        <s v="Customer Name 24"/>
        <s v="Customer Name 72"/>
        <s v="Customer Name 86"/>
        <s v="Customer Name 97"/>
      </sharedItems>
    </cacheField>
    <cacheField name="[Table1].[Offers].[Offers]" caption="Offers" numFmtId="0" hierarchy="6" level="1">
      <sharedItems containsSemiMixedTypes="0" containsString="0" containsNumber="1" containsInteger="1" minValue="168" maxValue="872" count="10">
        <n v="168"/>
        <n v="312"/>
        <n v="403"/>
        <n v="413"/>
        <n v="568"/>
        <n v="577"/>
        <n v="610"/>
        <n v="692"/>
        <n v="839"/>
        <n v="872"/>
      </sharedItems>
      <extLst>
        <ext xmlns:x15="http://schemas.microsoft.com/office/spreadsheetml/2010/11/main" uri="{4F2E5C28-24EA-4eb8-9CBF-B6C8F9C3D259}">
          <x15:cachedUniqueNames>
            <x15:cachedUniqueName index="0" name="[Table1].[Offers].&amp;[168]"/>
            <x15:cachedUniqueName index="1" name="[Table1].[Offers].&amp;[312]"/>
            <x15:cachedUniqueName index="2" name="[Table1].[Offers].&amp;[403]"/>
            <x15:cachedUniqueName index="3" name="[Table1].[Offers].&amp;[413]"/>
            <x15:cachedUniqueName index="4" name="[Table1].[Offers].&amp;[568]"/>
            <x15:cachedUniqueName index="5" name="[Table1].[Offers].&amp;[577]"/>
            <x15:cachedUniqueName index="6" name="[Table1].[Offers].&amp;[610]"/>
            <x15:cachedUniqueName index="7" name="[Table1].[Offers].&amp;[692]"/>
            <x15:cachedUniqueName index="8" name="[Table1].[Offers].&amp;[839]"/>
            <x15:cachedUniqueName index="9" name="[Table1].[Offers].&amp;[872]"/>
          </x15:cachedUniqueNames>
        </ext>
      </extLst>
    </cacheField>
    <cacheField name="[Measures].[Sum of Orders]" caption="Sum of Orders" numFmtId="0" hierarchy="13" level="32767"/>
    <cacheField name="[Table1].[Product].[Product]" caption="Product" numFmtId="0" hierarchy="4" level="1">
      <sharedItems containsSemiMixedTypes="0" containsNonDate="0" containsString="0"/>
    </cacheField>
  </cacheFields>
  <cacheHierarchies count="16">
    <cacheHierarchy uniqueName="[Table1].[Year]" caption="Year" attribute="1" defaultMemberUniqueName="[Table1].[Year].[All]" allUniqueName="[Table1].[Year].[All]" dimensionUniqueName="[Table1]" displayFolder="" count="0" memberValueDatatype="20" unbalanced="0"/>
    <cacheHierarchy uniqueName="[Table1].[Salesperson]" caption="Salesperson" attribute="1" defaultMemberUniqueName="[Table1].[Salesperson].[All]" allUniqueName="[Table1].[Salesperson].[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caption="Customer" attribute="1" defaultMemberUniqueName="[Table1].[Customer].[All]" allUniqueName="[Table1].[Customer].[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3"/>
      </fieldsUsage>
    </cacheHierarchy>
    <cacheHierarchy uniqueName="[Table1].[Amount]" caption="Amount" attribute="1" defaultMemberUniqueName="[Table1].[Amount].[All]" allUniqueName="[Table1].[Amount].[All]" dimensionUniqueName="[Table1]" displayFolder="" count="0" memberValueDatatype="5" unbalanced="0"/>
    <cacheHierarchy uniqueName="[Table1].[Offers]" caption="Offers" attribute="1" defaultMemberUniqueName="[Table1].[Offers].[All]" allUniqueName="[Table1].[Offers].[All]" dimensionUniqueName="[Table1]" displayFolder="" count="2" memberValueDatatype="20" unbalanced="0">
      <fieldsUsage count="2">
        <fieldUsage x="-1"/>
        <fieldUsage x="1"/>
      </fieldsUsage>
    </cacheHierarchy>
    <cacheHierarchy uniqueName="[Table1].[Orders]" caption="Orders" attribute="1" defaultMemberUniqueName="[Table1].[Orders].[All]" allUniqueName="[Table1].[Order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Table1" count="0" hidden="1">
      <extLst>
        <ext xmlns:x15="http://schemas.microsoft.com/office/spreadsheetml/2010/11/main" uri="{B97F6D7D-B522-45F9-BDA1-12C45D357490}">
          <x15:cacheHierarchy aggregatedColumn="5"/>
        </ext>
      </extLst>
    </cacheHierarchy>
    <cacheHierarchy uniqueName="[Measures].[Sum of Offers]" caption="Sum of Offers" measure="1" displayFolder="" measureGroup="Table1" count="0" hidden="1">
      <extLst>
        <ext xmlns:x15="http://schemas.microsoft.com/office/spreadsheetml/2010/11/main" uri="{B97F6D7D-B522-45F9-BDA1-12C45D357490}">
          <x15:cacheHierarchy aggregatedColumn="6"/>
        </ext>
      </extLst>
    </cacheHierarchy>
    <cacheHierarchy uniqueName="[Measures].[Sum of Orders]" caption="Sum of Orders" measure="1" displayFolder="" measureGroup="Table1"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6.857946412034" backgroundQuery="1" createdVersion="8" refreshedVersion="8" minRefreshableVersion="3" recordCount="0" supportSubquery="1" supportAdvancedDrill="1" xr:uid="{7BA76771-83A0-46B6-A4E1-161C16EEA549}">
  <cacheSource type="external" connectionId="2"/>
  <cacheFields count="7">
    <cacheField name="[Table1].[Customer].[Customer]" caption="Customer" numFmtId="0" hierarchy="3" level="1">
      <sharedItems count="10">
        <s v="Customer Name 100"/>
        <s v="Customer Name 115"/>
        <s v="Customer Name 131"/>
        <s v="Customer Name 147"/>
        <s v="Customer Name 150"/>
        <s v="Customer Name 154"/>
        <s v="Customer Name 24"/>
        <s v="Customer Name 72"/>
        <s v="Customer Name 86"/>
        <s v="Customer Name 97"/>
      </sharedItems>
    </cacheField>
    <cacheField name="[Table1].[Offers].[Offers]" caption="Offers" numFmtId="0" hierarchy="6" level="1">
      <sharedItems containsSemiMixedTypes="0" containsString="0" containsNumber="1" containsInteger="1" minValue="168" maxValue="872" count="10">
        <n v="168"/>
        <n v="312"/>
        <n v="403"/>
        <n v="413"/>
        <n v="568"/>
        <n v="577"/>
        <n v="610"/>
        <n v="692"/>
        <n v="839"/>
        <n v="872"/>
      </sharedItems>
      <extLst>
        <ext xmlns:x15="http://schemas.microsoft.com/office/spreadsheetml/2010/11/main" uri="{4F2E5C28-24EA-4eb8-9CBF-B6C8F9C3D259}">
          <x15:cachedUniqueNames>
            <x15:cachedUniqueName index="0" name="[Table1].[Offers].&amp;[168]"/>
            <x15:cachedUniqueName index="1" name="[Table1].[Offers].&amp;[312]"/>
            <x15:cachedUniqueName index="2" name="[Table1].[Offers].&amp;[403]"/>
            <x15:cachedUniqueName index="3" name="[Table1].[Offers].&amp;[413]"/>
            <x15:cachedUniqueName index="4" name="[Table1].[Offers].&amp;[568]"/>
            <x15:cachedUniqueName index="5" name="[Table1].[Offers].&amp;[577]"/>
            <x15:cachedUniqueName index="6" name="[Table1].[Offers].&amp;[610]"/>
            <x15:cachedUniqueName index="7" name="[Table1].[Offers].&amp;[692]"/>
            <x15:cachedUniqueName index="8" name="[Table1].[Offers].&amp;[839]"/>
            <x15:cachedUniqueName index="9" name="[Table1].[Offers].&amp;[872]"/>
          </x15:cachedUniqueNames>
        </ext>
      </extLst>
    </cacheField>
    <cacheField name="[Measures].[Sum of Amount]" caption="Sum of Amount" numFmtId="0" hierarchy="11" level="32767"/>
    <cacheField name="[Measures].[Sum of Orders]" caption="Sum of Orders" numFmtId="0" hierarchy="13" level="32767"/>
    <cacheField name="[Measures].[Sum of Offers]" caption="Sum of Offers" numFmtId="0" hierarchy="12" level="32767"/>
    <cacheField name="[Measures].[Distinct Count of Customer]" caption="Distinct Count of Customer" numFmtId="0" hierarchy="15" level="32767"/>
    <cacheField name="[Table1].[Product].[Product]" caption="Product" numFmtId="0" hierarchy="4" level="1">
      <sharedItems containsSemiMixedTypes="0" containsNonDate="0" containsString="0"/>
    </cacheField>
  </cacheFields>
  <cacheHierarchies count="16">
    <cacheHierarchy uniqueName="[Table1].[Year]" caption="Year" attribute="1" defaultMemberUniqueName="[Table1].[Year].[All]" allUniqueName="[Table1].[Year].[All]" dimensionUniqueName="[Table1]" displayFolder="" count="0" memberValueDatatype="20" unbalanced="0"/>
    <cacheHierarchy uniqueName="[Table1].[Salesperson]" caption="Salesperson" attribute="1" defaultMemberUniqueName="[Table1].[Salesperson].[All]" allUniqueName="[Table1].[Salesperson].[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caption="Customer" attribute="1" defaultMemberUniqueName="[Table1].[Customer].[All]" allUniqueName="[Table1].[Customer].[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6"/>
      </fieldsUsage>
    </cacheHierarchy>
    <cacheHierarchy uniqueName="[Table1].[Amount]" caption="Amount" attribute="1" defaultMemberUniqueName="[Table1].[Amount].[All]" allUniqueName="[Table1].[Amount].[All]" dimensionUniqueName="[Table1]" displayFolder="" count="0" memberValueDatatype="5" unbalanced="0"/>
    <cacheHierarchy uniqueName="[Table1].[Offers]" caption="Offers" attribute="1" defaultMemberUniqueName="[Table1].[Offers].[All]" allUniqueName="[Table1].[Offers].[All]" dimensionUniqueName="[Table1]" displayFolder="" count="2" memberValueDatatype="20" unbalanced="0">
      <fieldsUsage count="2">
        <fieldUsage x="-1"/>
        <fieldUsage x="1"/>
      </fieldsUsage>
    </cacheHierarchy>
    <cacheHierarchy uniqueName="[Table1].[Orders]" caption="Orders" attribute="1" defaultMemberUniqueName="[Table1].[Orders].[All]" allUniqueName="[Table1].[Order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Offers]" caption="Sum of Offers" measure="1" displayFolder="" measureGroup="Table1" count="0" oneField="1" hidden="1">
      <fieldsUsage count="1">
        <fieldUsage x="4"/>
      </fieldsUsage>
      <extLst>
        <ext xmlns:x15="http://schemas.microsoft.com/office/spreadsheetml/2010/11/main" uri="{B97F6D7D-B522-45F9-BDA1-12C45D357490}">
          <x15:cacheHierarchy aggregatedColumn="6"/>
        </ext>
      </extLst>
    </cacheHierarchy>
    <cacheHierarchy uniqueName="[Measures].[Sum of Orders]" caption="Sum of Orders" measure="1" displayFolder="" measureGroup="Table1"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Table1" count="0" oneField="1" hidden="1">
      <fieldsUsage count="1">
        <fieldUsage x="5"/>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6.589830787037" backgroundQuery="1" createdVersion="3" refreshedVersion="8" minRefreshableVersion="3" recordCount="0" supportSubquery="1" supportAdvancedDrill="1" xr:uid="{9E6B23E7-E37E-4A4C-A13B-0D9593EEBBEB}">
  <cacheSource type="external" connectionId="2">
    <extLst>
      <ext xmlns:x14="http://schemas.microsoft.com/office/spreadsheetml/2009/9/main" uri="{F057638F-6D5F-4e77-A914-E7F072B9BCA8}">
        <x14:sourceConnection name="ThisWorkbookDataModel"/>
      </ext>
    </extLst>
  </cacheSource>
  <cacheFields count="0"/>
  <cacheHierarchies count="16">
    <cacheHierarchy uniqueName="[Table1].[Year]" caption="Year" attribute="1" defaultMemberUniqueName="[Table1].[Year].[All]" allUniqueName="[Table1].[Year].[All]" dimensionUniqueName="[Table1]" displayFolder="" count="2" memberValueDatatype="20" unbalanced="0"/>
    <cacheHierarchy uniqueName="[Table1].[Salesperson]" caption="Salesperson" attribute="1" defaultMemberUniqueName="[Table1].[Salesperson].[All]" allUniqueName="[Table1].[Salesperson].[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caption="Customer" attribute="1" defaultMemberUniqueName="[Table1].[Customer].[All]" allUniqueName="[Table1].[Customer].[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Amount]" caption="Amount" attribute="1" defaultMemberUniqueName="[Table1].[Amount].[All]" allUniqueName="[Table1].[Amount].[All]" dimensionUniqueName="[Table1]" displayFolder="" count="0" memberValueDatatype="5" unbalanced="0"/>
    <cacheHierarchy uniqueName="[Table1].[Offers]" caption="Offers" attribute="1" defaultMemberUniqueName="[Table1].[Offers].[All]" allUniqueName="[Table1].[Offers].[All]" dimensionUniqueName="[Table1]" displayFolder="" count="0" memberValueDatatype="20" unbalanced="0"/>
    <cacheHierarchy uniqueName="[Table1].[Orders]" caption="Orders" attribute="1" defaultMemberUniqueName="[Table1].[Orders].[All]" allUniqueName="[Table1].[Order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Table1" count="0" hidden="1">
      <extLst>
        <ext xmlns:x15="http://schemas.microsoft.com/office/spreadsheetml/2010/11/main" uri="{B97F6D7D-B522-45F9-BDA1-12C45D357490}">
          <x15:cacheHierarchy aggregatedColumn="5"/>
        </ext>
      </extLst>
    </cacheHierarchy>
    <cacheHierarchy uniqueName="[Measures].[Sum of Offers]" caption="Sum of Offers" measure="1" displayFolder="" measureGroup="Table1" count="0" hidden="1">
      <extLst>
        <ext xmlns:x15="http://schemas.microsoft.com/office/spreadsheetml/2010/11/main" uri="{B97F6D7D-B522-45F9-BDA1-12C45D357490}">
          <x15:cacheHierarchy aggregatedColumn="6"/>
        </ext>
      </extLst>
    </cacheHierarchy>
    <cacheHierarchy uniqueName="[Measures].[Sum of Orders]" caption="Sum of Orders" measure="1" displayFolder="" measureGroup="Table1" count="0" hidden="1">
      <extLst>
        <ext xmlns:x15="http://schemas.microsoft.com/office/spreadsheetml/2010/11/main" uri="{B97F6D7D-B522-45F9-BDA1-12C45D357490}">
          <x15:cacheHierarchy aggregatedColumn="7"/>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Table1"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785986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0C6100-A2B5-481C-92C2-3469AA41E3C8}"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2">
  <location ref="K3:L14"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Amount" fld="0" baseField="0" baseItem="0"/>
  </dataFields>
  <chartFormats count="6">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67" format="2" series="1">
      <pivotArea type="data" outline="0" fieldPosition="0">
        <references count="1">
          <reference field="4294967294" count="1" selected="0">
            <x v="0"/>
          </reference>
        </references>
      </pivotArea>
    </chartFormat>
    <chartFormat chart="69" format="4"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1">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Performance and Growth Analysis Dashboard 10716841656883 Exl_Dashboards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CED605-6264-4ABF-890F-259F192A4D35}"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location ref="F18:G29"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Orders" fld="2" baseField="1" baseItem="0"/>
  </dataFields>
  <chartFormats count="3">
    <chartFormat chart="75" format="2" series="1">
      <pivotArea type="data" outline="0" fieldPosition="0">
        <references count="1">
          <reference field="4294967294" count="1" selected="0">
            <x v="0"/>
          </reference>
        </references>
      </pivotArea>
    </chartFormat>
    <chartFormat chart="77" format="3" series="1">
      <pivotArea type="data" outline="0" fieldPosition="0">
        <references count="1">
          <reference field="4294967294" count="1" selected="0">
            <x v="0"/>
          </reference>
        </references>
      </pivotArea>
    </chartFormat>
    <chartFormat chart="78" format="4"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11">
      <autoFilter ref="A1">
        <filterColumn colId="0">
          <top10 val="10" filterVal="10"/>
        </filterColumn>
      </autoFilter>
    </filter>
    <filter fld="1" type="count" id="2" iMeasureHier="11">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Performance and Growth Analysis Dashboard 10716841656883 Exl_Dashboards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B4C312-1410-4381-8035-3FD97C4CE7E5}"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H3:I13"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name="Sum of Amount" fld="0" baseField="0" baseItem="0"/>
  </dataFields>
  <chartFormats count="4">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Performance and Growth Analysis Dashboard 10716841656883 Exl_Dashboards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667464-8ABD-4C72-BC0C-4DF90836464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6">
  <location ref="J23:M24" firstHeaderRow="0" firstDataRow="1" firstDataCol="0"/>
  <pivotFields count="7">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Amount" fld="2" baseField="0" baseItem="1" numFmtId="164"/>
    <dataField name="Sum of Orders" fld="3" baseField="0" baseItem="0"/>
    <dataField name="Sum of Offers" fld="4" baseField="0" baseItem="0"/>
    <dataField name="Distinct Count of Customer" fld="5" subtotal="count" baseField="0" baseItem="0">
      <extLst>
        <ext xmlns:x15="http://schemas.microsoft.com/office/spreadsheetml/2010/11/main" uri="{FABC7310-3BB5-11E1-824E-6D434824019B}">
          <x15:dataField isCountDistinct="1"/>
        </ext>
      </extLst>
    </dataField>
  </dataFields>
  <pivotHierarchies count="16">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2" iMeasureHier="11">
      <autoFilter ref="A1">
        <filterColumn colId="0">
          <top10 val="10" filterVal="10"/>
        </filterColumn>
      </autoFilter>
    </filter>
    <filter fld="0" type="count" id="1" iMeasureHier="11">
      <autoFilter ref="A1">
        <filterColumn colId="0">
          <top10 val="10" filterVal="10"/>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Performance and Growth Analysis Dashboard 10716841656883 Exl_Dashboards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27AFA0-6A7E-4A14-9261-95D414E88DB2}"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6">
  <location ref="I18:L19" firstHeaderRow="0" firstDataRow="1" firstDataCol="0"/>
  <pivotFields count="7">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Amount" fld="2" baseField="0" baseItem="1" numFmtId="164"/>
    <dataField name="Sum of Orders" fld="3" baseField="0" baseItem="0"/>
    <dataField name="Sum of Offers" fld="4" baseField="0" baseItem="0"/>
    <dataField name="Distinct Count of Customer" fld="5" subtotal="count" baseField="0" baseItem="0">
      <extLst>
        <ext xmlns:x15="http://schemas.microsoft.com/office/spreadsheetml/2010/11/main" uri="{FABC7310-3BB5-11E1-824E-6D434824019B}">
          <x15:dataField isCountDistinct="1"/>
        </ext>
      </extLst>
    </dataField>
  </dataFields>
  <pivotHierarchies count="16">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2" iMeasureHier="11">
      <autoFilter ref="A1">
        <filterColumn colId="0">
          <top10 val="10" filterVal="10"/>
        </filterColumn>
      </autoFilter>
    </filter>
    <filter fld="0" type="count" id="1" iMeasureHier="11">
      <autoFilter ref="A1">
        <filterColumn colId="0">
          <top10 val="10" filterVal="10"/>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Performance and Growth Analysis Dashboard 10716841656883 Exl_Dashboards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CCCD6F-2198-41EA-83A5-6A2BA18A4B3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Amount" fld="1" baseField="0" baseItem="0"/>
  </dataFields>
  <chartFormats count="2">
    <chartFormat chart="15"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Performance and Growth Analysis Dashboard 10716841656883 Exl_Dashboards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79DCC5-98D9-4F63-A58D-8BB1435873FE}"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4">
  <location ref="B19:C30"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Amount" fld="0" baseField="0" baseItem="0"/>
  </dataFields>
  <chartFormats count="8">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7" format="2" series="1">
      <pivotArea type="data" outline="0" fieldPosition="0">
        <references count="1">
          <reference field="4294967294" count="1" selected="0">
            <x v="0"/>
          </reference>
        </references>
      </pivotArea>
    </chartFormat>
    <chartFormat chart="70" format="2" series="1">
      <pivotArea type="data" outline="0" fieldPosition="0">
        <references count="1">
          <reference field="4294967294" count="1" selected="0">
            <x v="0"/>
          </reference>
        </references>
      </pivotArea>
    </chartFormat>
    <chartFormat chart="72" format="4"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11">
      <autoFilter ref="A1">
        <filterColumn colId="0">
          <top10 val="10" filterVal="10"/>
        </filterColumn>
      </autoFilter>
    </filter>
    <filter fld="2" type="count" id="2" iMeasureHier="11">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Performance and Growth Analysis Dashboard 10716841656883 Exl_Dashboards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7FF243-996A-45D2-A955-566AB8BA4CC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E3:F14"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Amount" fld="0" baseField="0" baseItem="0"/>
  </dataFields>
  <chartFormats count="2">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Performance and Growth Analysis Dashboard 10716841656883 Exl_Dashboards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029814A-37BC-4665-B839-804871F45CAE}" autoFormatId="16" applyNumberFormats="0" applyBorderFormats="0" applyFontFormats="0" applyPatternFormats="0" applyAlignmentFormats="0" applyWidthHeightFormats="0">
  <queryTableRefresh nextId="9">
    <queryTableFields count="8">
      <queryTableField id="1" name="Table1[Year]" tableColumnId="1"/>
      <queryTableField id="2" name="Table1[Salesperson]" tableColumnId="2"/>
      <queryTableField id="3" name="Table1[Customer ID]" tableColumnId="3"/>
      <queryTableField id="4" name="Table1[Customer]" tableColumnId="4"/>
      <queryTableField id="5" name="Table1[Product]" tableColumnId="5"/>
      <queryTableField id="6" name="Table1[Amount]" tableColumnId="6"/>
      <queryTableField id="7" name="Table1[Offers]" tableColumnId="7"/>
      <queryTableField id="8" name="Table1[Orders]" tableColumnId="8"/>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3F2F8D00-8C17-4094-A6C1-FCA1AC658ECD}" sourceName="[Table1].[Salesperson]">
  <pivotTables>
    <pivotTable tabId="3" name="PivotTable8"/>
  </pivotTables>
  <data>
    <olap pivotCacheId="178598671">
      <levels count="2">
        <level uniqueName="[Table1].[Salesperson].[(All)]" sourceCaption="(All)" count="0"/>
        <level uniqueName="[Table1].[Salesperson].[Salesperson]" sourceCaption="Salesperson" count="10">
          <ranges>
            <range startItem="0">
              <i n="[Table1].[Salesperson].&amp;[Salesperson 1]" c="Salesperson 1"/>
              <i n="[Table1].[Salesperson].&amp;[Salesperson 10]" c="Salesperson 10"/>
              <i n="[Table1].[Salesperson].&amp;[Salesperson 2]" c="Salesperson 2"/>
              <i n="[Table1].[Salesperson].&amp;[Salesperson 3]" c="Salesperson 3"/>
              <i n="[Table1].[Salesperson].&amp;[Salesperson 4]" c="Salesperson 4"/>
              <i n="[Table1].[Salesperson].&amp;[Salesperson 5]" c="Salesperson 5"/>
              <i n="[Table1].[Salesperson].&amp;[Salesperson 6]" c="Salesperson 6"/>
              <i n="[Table1].[Salesperson].&amp;[Salesperson 7]" c="Salesperson 7"/>
              <i n="[Table1].[Salesperson].&amp;[Salesperson 8]" c="Salesperson 8"/>
              <i n="[Table1].[Salesperson].&amp;[Salesperson 9]" c="Salesperson 9"/>
            </range>
          </ranges>
        </level>
      </levels>
      <selections count="1">
        <selection n="[Table1].[Salesper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55AEC5-54DA-43D9-AE0D-5D48B218A761}" sourceName="[Table1].[Year]">
  <pivotTables>
    <pivotTable tabId="3" name="PivotTable8"/>
  </pivotTables>
  <data>
    <olap pivotCacheId="178598671">
      <levels count="2">
        <level uniqueName="[Table1].[Year].[(All)]" sourceCaption="(All)" count="0"/>
        <level uniqueName="[Table1].[Year].[Year]" sourceCaption="Year" count="4">
          <ranges>
            <range startItem="0">
              <i n="[Table1].[Year].&amp;[2021]" c="2021"/>
              <i n="[Table1].[Year].&amp;[2022]" c="2022"/>
              <i n="[Table1].[Year].&amp;[2023]" c="2023"/>
              <i n="[Table1].[Year].&amp;[2024]" c="2024"/>
            </range>
          </ranges>
        </level>
      </levels>
      <selections count="1">
        <selection n="[Table1].[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4FF85CC-2316-419A-AF2A-765DBEF80543}" sourceName="[Table1].[Product]">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s>
  <data>
    <olap pivotCacheId="178598671">
      <levels count="2">
        <level uniqueName="[Table1].[Product].[(All)]" sourceCaption="(All)" count="0"/>
        <level uniqueName="[Table1].[Product].[Product]" sourceCaption="Product" count="9">
          <ranges>
            <range startItem="0">
              <i n="[Table1].[Product].&amp;[Product N1]" c="Product N1"/>
              <i n="[Table1].[Product].&amp;[Product N2]" c="Product N2"/>
              <i n="[Table1].[Product].&amp;[Product N3]" c="Product N3"/>
              <i n="[Table1].[Product].&amp;[Product N4]" c="Product N4"/>
              <i n="[Table1].[Product].&amp;[Product N5]" c="Product N5"/>
              <i n="[Table1].[Product].&amp;[Product N6]" c="Product N6"/>
              <i n="[Table1].[Product].&amp;[Product N7]" c="Product N7"/>
              <i n="[Table1].[Product].&amp;[Product N8]" c="Product N8"/>
              <i n="[Table1].[Product].&amp;[Product N9]" c="Product N9"/>
            </range>
          </ranges>
        </level>
      </levels>
      <selections count="1">
        <selection n="[Table1].[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12B3EFE4-38FE-4871-A79B-4B3AA8B7784D}" cache="Slicer_Salesperson" caption="Salesperson" level="1" style="SlicerStyleOther2" rowHeight="247650"/>
  <slicer name="Year" xr10:uid="{E3CFC0F2-016F-4E90-8492-F832FA3EEB4C}" cache="Slicer_Year" caption="Year" level="1" style="SlicerStyleOther2" rowHeight="247650"/>
  <slicer name="Product" xr10:uid="{81180A05-85DC-47AF-99BD-3010A8DDA686}" cache="Slicer_Product" caption="Product" level="1" style="SlicerStyleOther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1" xr10:uid="{4A7AA752-9090-49D8-A13F-A33BF1AA1F73}" cache="Slicer_Salesperson" caption="Salesperson" level="1" style="SlicerStyleOther2" rowHeight="247650"/>
  <slicer name="Year 1" xr10:uid="{16E48721-B7DF-4A0B-8017-F85D1079A575}" cache="Slicer_Year" caption="Year" level="1" style="SlicerStyleOther2" rowHeight="247650"/>
  <slicer name="Product 1" xr10:uid="{A6C21B41-24E3-4762-8DAC-3254E4F8EE7E}" cache="Slicer_Product" caption="Product" level="1" style="SlicerStyleOther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160D3B-5E5B-4241-9F12-C56C46A623E5}" name="Table_ExternalData_1" displayName="Table_ExternalData_1" ref="A3:H807" tableType="queryTable" totalsRowShown="0">
  <autoFilter ref="A3:H807" xr:uid="{3E160D3B-5E5B-4241-9F12-C56C46A623E5}"/>
  <tableColumns count="8">
    <tableColumn id="1" xr3:uid="{C0DA5974-C736-4B22-9B15-CD0F50B5D68C}" uniqueName="1" name="Table1[Year]" queryTableFieldId="1"/>
    <tableColumn id="2" xr3:uid="{751FA65E-2ACF-4602-9ED2-007869EA2462}" uniqueName="2" name="Table1[Salesperson]" queryTableFieldId="2"/>
    <tableColumn id="3" xr3:uid="{EE36CB8A-7F30-4E79-A066-E6B7A342F5F4}" uniqueName="3" name="Table1[Customer ID]" queryTableFieldId="3"/>
    <tableColumn id="4" xr3:uid="{C95FF657-90A7-425B-A2BD-9F1A8791388E}" uniqueName="4" name="Table1[Customer]" queryTableFieldId="4"/>
    <tableColumn id="5" xr3:uid="{44720A19-99E1-4EC0-90B8-FAC8B02161E0}" uniqueName="5" name="Table1[Product]" queryTableFieldId="5"/>
    <tableColumn id="6" xr3:uid="{51B23BF2-8127-4511-A0F1-FB90214CF9E7}" uniqueName="6" name="Table1[Amount]" queryTableFieldId="6"/>
    <tableColumn id="7" xr3:uid="{0AAA7864-5ABA-4215-9E15-1F940BEA2AC5}" uniqueName="7" name="Table1[Offers]" queryTableFieldId="7"/>
    <tableColumn id="8" xr3:uid="{5C1DF859-2EB1-46C8-85DA-5231CC13CB6B}" uniqueName="8" name="Table1[Orders]" queryTableField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87669-1769-0449-BC2C-7AF167259CA1}" name="Table1" displayName="Table1" ref="A1:H806" totalsRowCount="1" headerRowDxfId="21" dataDxfId="19" totalsRowDxfId="17" headerRowBorderDxfId="20" tableBorderDxfId="18" totalsRowBorderDxfId="16">
  <autoFilter ref="A1:H805" xr:uid="{09CCC8C5-BAA0-8547-A25A-1AAFC547721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sortState xmlns:xlrd2="http://schemas.microsoft.com/office/spreadsheetml/2017/richdata2" ref="A2:H805">
    <sortCondition descending="1" ref="A1:A805"/>
  </sortState>
  <tableColumns count="8">
    <tableColumn id="8" xr3:uid="{D4321F43-2CF1-CD4A-BD24-61C62462B71F}" name="Year" totalsRowFunction="count" dataDxfId="15" totalsRowDxfId="14"/>
    <tableColumn id="5" xr3:uid="{3566BE56-831A-9D48-A31B-DC1BD2DAD60E}" name="Salesperson" dataDxfId="13" totalsRowDxfId="12"/>
    <tableColumn id="6" xr3:uid="{FEC71F73-338E-6845-936C-6FB2630CB974}" name="Customer ID" dataDxfId="11" totalsRowDxfId="10"/>
    <tableColumn id="7" xr3:uid="{6DF893CA-3BE3-9D4A-98EA-C8BB2232FE16}" name="Customer" dataDxfId="9" totalsRowDxfId="8"/>
    <tableColumn id="9" xr3:uid="{FCA369B9-A709-C24B-A33E-88368D268993}" name="Product" dataDxfId="7" totalsRowDxfId="6"/>
    <tableColumn id="10" xr3:uid="{72AB549C-65CE-F848-B60D-7CC668257E7A}" name="Amount" totalsRowFunction="sum" dataDxfId="5" totalsRowDxfId="4"/>
    <tableColumn id="11" xr3:uid="{23220B60-356B-5C45-97B5-E89E9CCCAB7D}" name="Offers" totalsRowFunction="sum" dataDxfId="3" totalsRowDxfId="2"/>
    <tableColumn id="12" xr3:uid="{BB7C08AC-F263-0248-BC7F-D19982BF103C}" name="Orders" totalsRowFunction="sum" dataDxfId="1" totalsRowDxfId="0"/>
  </tableColumns>
  <tableStyleInfo name="TableStyleLight8"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1942-4BD5-44C8-82B7-9810AF5536EB}">
  <dimension ref="A1:H807"/>
  <sheetViews>
    <sheetView workbookViewId="0"/>
  </sheetViews>
  <sheetFormatPr defaultRowHeight="14.4" x14ac:dyDescent="0.3"/>
  <cols>
    <col min="1" max="1" width="13.5546875" customWidth="1"/>
    <col min="2" max="3" width="20.33203125" customWidth="1"/>
    <col min="4" max="4" width="18.109375" customWidth="1"/>
    <col min="5" max="5" width="16.5546875" customWidth="1"/>
    <col min="6" max="6" width="16.44140625" customWidth="1"/>
    <col min="7" max="7" width="14.88671875" customWidth="1"/>
    <col min="8" max="8" width="15.6640625" customWidth="1"/>
  </cols>
  <sheetData>
    <row r="1" spans="1:8" x14ac:dyDescent="0.3">
      <c r="A1" s="20" t="s">
        <v>251</v>
      </c>
    </row>
    <row r="3" spans="1:8" x14ac:dyDescent="0.3">
      <c r="A3" t="s">
        <v>243</v>
      </c>
      <c r="B3" t="s">
        <v>244</v>
      </c>
      <c r="C3" t="s">
        <v>245</v>
      </c>
      <c r="D3" t="s">
        <v>246</v>
      </c>
      <c r="E3" t="s">
        <v>247</v>
      </c>
      <c r="F3" t="s">
        <v>248</v>
      </c>
      <c r="G3" t="s">
        <v>249</v>
      </c>
      <c r="H3" t="s">
        <v>250</v>
      </c>
    </row>
    <row r="4" spans="1:8" x14ac:dyDescent="0.3">
      <c r="A4">
        <v>2024</v>
      </c>
      <c r="B4" t="s">
        <v>18</v>
      </c>
      <c r="C4" t="s">
        <v>8</v>
      </c>
      <c r="D4" t="s">
        <v>28</v>
      </c>
      <c r="E4" t="s">
        <v>228</v>
      </c>
      <c r="F4">
        <v>143372.43648000003</v>
      </c>
      <c r="G4">
        <v>795</v>
      </c>
      <c r="H4">
        <v>469</v>
      </c>
    </row>
    <row r="5" spans="1:8" x14ac:dyDescent="0.3">
      <c r="A5">
        <v>2024</v>
      </c>
      <c r="B5" t="s">
        <v>19</v>
      </c>
      <c r="C5" t="s">
        <v>8</v>
      </c>
      <c r="D5" t="s">
        <v>29</v>
      </c>
      <c r="E5" t="s">
        <v>229</v>
      </c>
      <c r="F5">
        <v>146688.046848</v>
      </c>
      <c r="G5">
        <v>312</v>
      </c>
      <c r="H5">
        <v>983</v>
      </c>
    </row>
    <row r="6" spans="1:8" x14ac:dyDescent="0.3">
      <c r="A6">
        <v>2024</v>
      </c>
      <c r="B6" t="s">
        <v>20</v>
      </c>
      <c r="C6" t="s">
        <v>8</v>
      </c>
      <c r="D6" t="s">
        <v>30</v>
      </c>
      <c r="E6" t="s">
        <v>230</v>
      </c>
      <c r="F6">
        <v>154878.15168000001</v>
      </c>
      <c r="G6">
        <v>795</v>
      </c>
      <c r="H6">
        <v>469</v>
      </c>
    </row>
    <row r="7" spans="1:8" x14ac:dyDescent="0.3">
      <c r="A7">
        <v>2024</v>
      </c>
      <c r="B7" t="s">
        <v>21</v>
      </c>
      <c r="C7" t="s">
        <v>8</v>
      </c>
      <c r="D7" t="s">
        <v>31</v>
      </c>
      <c r="E7" t="s">
        <v>231</v>
      </c>
      <c r="F7">
        <v>162358.269696</v>
      </c>
      <c r="G7">
        <v>692</v>
      </c>
      <c r="H7">
        <v>300</v>
      </c>
    </row>
    <row r="8" spans="1:8" x14ac:dyDescent="0.3">
      <c r="A8">
        <v>2024</v>
      </c>
      <c r="B8" t="s">
        <v>21</v>
      </c>
      <c r="C8" t="s">
        <v>8</v>
      </c>
      <c r="D8" t="s">
        <v>32</v>
      </c>
      <c r="E8" t="s">
        <v>232</v>
      </c>
      <c r="F8">
        <v>173427.6096</v>
      </c>
      <c r="G8">
        <v>692</v>
      </c>
      <c r="H8">
        <v>300</v>
      </c>
    </row>
    <row r="9" spans="1:8" x14ac:dyDescent="0.3">
      <c r="A9">
        <v>2024</v>
      </c>
      <c r="B9" t="s">
        <v>22</v>
      </c>
      <c r="C9" t="s">
        <v>8</v>
      </c>
      <c r="D9" t="s">
        <v>33</v>
      </c>
      <c r="E9" t="s">
        <v>228</v>
      </c>
      <c r="F9">
        <v>180011.123712</v>
      </c>
      <c r="G9">
        <v>403</v>
      </c>
      <c r="H9">
        <v>953</v>
      </c>
    </row>
    <row r="10" spans="1:8" x14ac:dyDescent="0.3">
      <c r="A10">
        <v>2024</v>
      </c>
      <c r="B10" t="s">
        <v>21</v>
      </c>
      <c r="C10" t="s">
        <v>8</v>
      </c>
      <c r="D10" t="s">
        <v>34</v>
      </c>
      <c r="E10" t="s">
        <v>233</v>
      </c>
      <c r="F10">
        <v>181755.22176000001</v>
      </c>
      <c r="G10">
        <v>168</v>
      </c>
      <c r="H10">
        <v>97</v>
      </c>
    </row>
    <row r="11" spans="1:8" x14ac:dyDescent="0.3">
      <c r="A11">
        <v>2024</v>
      </c>
      <c r="B11" t="s">
        <v>23</v>
      </c>
      <c r="C11" t="s">
        <v>8</v>
      </c>
      <c r="D11" t="s">
        <v>35</v>
      </c>
      <c r="E11" t="s">
        <v>232</v>
      </c>
      <c r="F11">
        <v>185515.62623999998</v>
      </c>
      <c r="G11">
        <v>839</v>
      </c>
      <c r="H11">
        <v>983</v>
      </c>
    </row>
    <row r="12" spans="1:8" x14ac:dyDescent="0.3">
      <c r="A12">
        <v>2024</v>
      </c>
      <c r="B12" t="s">
        <v>24</v>
      </c>
      <c r="C12" t="s">
        <v>8</v>
      </c>
      <c r="D12" t="s">
        <v>36</v>
      </c>
      <c r="E12" t="s">
        <v>228</v>
      </c>
      <c r="F12">
        <v>189205.87391999998</v>
      </c>
      <c r="G12">
        <v>610</v>
      </c>
      <c r="H12">
        <v>970</v>
      </c>
    </row>
    <row r="13" spans="1:8" x14ac:dyDescent="0.3">
      <c r="A13">
        <v>2024</v>
      </c>
      <c r="B13" t="s">
        <v>19</v>
      </c>
      <c r="C13" t="s">
        <v>8</v>
      </c>
      <c r="D13" t="s">
        <v>37</v>
      </c>
      <c r="E13" t="s">
        <v>229</v>
      </c>
      <c r="F13">
        <v>201783.585024</v>
      </c>
      <c r="G13">
        <v>168</v>
      </c>
      <c r="H13">
        <v>97</v>
      </c>
    </row>
    <row r="14" spans="1:8" x14ac:dyDescent="0.3">
      <c r="A14">
        <v>2024</v>
      </c>
      <c r="B14" t="s">
        <v>19</v>
      </c>
      <c r="C14" t="s">
        <v>8</v>
      </c>
      <c r="D14" t="s">
        <v>38</v>
      </c>
      <c r="E14" t="s">
        <v>229</v>
      </c>
      <c r="F14">
        <v>205856.888832</v>
      </c>
      <c r="G14">
        <v>610</v>
      </c>
      <c r="H14">
        <v>970</v>
      </c>
    </row>
    <row r="15" spans="1:8" x14ac:dyDescent="0.3">
      <c r="A15">
        <v>2024</v>
      </c>
      <c r="B15" t="s">
        <v>24</v>
      </c>
      <c r="C15" t="s">
        <v>8</v>
      </c>
      <c r="D15" t="s">
        <v>39</v>
      </c>
      <c r="E15" t="s">
        <v>229</v>
      </c>
      <c r="F15">
        <v>209180.91801600001</v>
      </c>
      <c r="G15">
        <v>287</v>
      </c>
      <c r="H15">
        <v>744</v>
      </c>
    </row>
    <row r="16" spans="1:8" x14ac:dyDescent="0.3">
      <c r="A16">
        <v>2024</v>
      </c>
      <c r="B16" t="s">
        <v>23</v>
      </c>
      <c r="C16" t="s">
        <v>8</v>
      </c>
      <c r="D16" t="s">
        <v>40</v>
      </c>
      <c r="E16" t="s">
        <v>234</v>
      </c>
      <c r="F16">
        <v>209903.53305599999</v>
      </c>
      <c r="G16">
        <v>168</v>
      </c>
      <c r="H16">
        <v>97</v>
      </c>
    </row>
    <row r="17" spans="1:8" x14ac:dyDescent="0.3">
      <c r="A17">
        <v>2024</v>
      </c>
      <c r="B17" t="s">
        <v>23</v>
      </c>
      <c r="C17" t="s">
        <v>8</v>
      </c>
      <c r="D17" t="s">
        <v>41</v>
      </c>
      <c r="E17" t="s">
        <v>232</v>
      </c>
      <c r="F17">
        <v>213040.945152</v>
      </c>
      <c r="G17">
        <v>168</v>
      </c>
      <c r="H17">
        <v>97</v>
      </c>
    </row>
    <row r="18" spans="1:8" x14ac:dyDescent="0.3">
      <c r="A18">
        <v>2024</v>
      </c>
      <c r="B18" t="s">
        <v>22</v>
      </c>
      <c r="C18" t="s">
        <v>8</v>
      </c>
      <c r="D18" t="s">
        <v>42</v>
      </c>
      <c r="E18" t="s">
        <v>235</v>
      </c>
      <c r="F18">
        <v>213341.21625599999</v>
      </c>
      <c r="G18">
        <v>692</v>
      </c>
      <c r="H18">
        <v>300</v>
      </c>
    </row>
    <row r="19" spans="1:8" x14ac:dyDescent="0.3">
      <c r="A19">
        <v>2024</v>
      </c>
      <c r="B19" t="s">
        <v>21</v>
      </c>
      <c r="C19" t="s">
        <v>8</v>
      </c>
      <c r="D19" t="s">
        <v>43</v>
      </c>
      <c r="E19" t="s">
        <v>234</v>
      </c>
      <c r="F19">
        <v>226860.43161599999</v>
      </c>
      <c r="G19">
        <v>784</v>
      </c>
      <c r="H19">
        <v>540</v>
      </c>
    </row>
    <row r="20" spans="1:8" x14ac:dyDescent="0.3">
      <c r="A20">
        <v>2024</v>
      </c>
      <c r="B20" t="s">
        <v>18</v>
      </c>
      <c r="C20" t="s">
        <v>8</v>
      </c>
      <c r="D20" t="s">
        <v>44</v>
      </c>
      <c r="E20" t="s">
        <v>232</v>
      </c>
      <c r="F20">
        <v>232402.81881600001</v>
      </c>
      <c r="G20">
        <v>872</v>
      </c>
      <c r="H20">
        <v>249</v>
      </c>
    </row>
    <row r="21" spans="1:8" x14ac:dyDescent="0.3">
      <c r="A21">
        <v>2024</v>
      </c>
      <c r="B21" t="s">
        <v>19</v>
      </c>
      <c r="C21" t="s">
        <v>8</v>
      </c>
      <c r="D21" t="s">
        <v>45</v>
      </c>
      <c r="E21" t="s">
        <v>228</v>
      </c>
      <c r="F21">
        <v>232412.64076799998</v>
      </c>
      <c r="G21">
        <v>692</v>
      </c>
      <c r="H21">
        <v>300</v>
      </c>
    </row>
    <row r="22" spans="1:8" x14ac:dyDescent="0.3">
      <c r="A22">
        <v>2024</v>
      </c>
      <c r="B22" t="s">
        <v>19</v>
      </c>
      <c r="C22" t="s">
        <v>8</v>
      </c>
      <c r="D22" t="s">
        <v>46</v>
      </c>
      <c r="E22" t="s">
        <v>228</v>
      </c>
      <c r="F22">
        <v>233591.27500799997</v>
      </c>
      <c r="G22">
        <v>872</v>
      </c>
      <c r="H22">
        <v>249</v>
      </c>
    </row>
    <row r="23" spans="1:8" x14ac:dyDescent="0.3">
      <c r="A23">
        <v>2024</v>
      </c>
      <c r="B23" t="s">
        <v>19</v>
      </c>
      <c r="C23" t="s">
        <v>8</v>
      </c>
      <c r="D23" t="s">
        <v>47</v>
      </c>
      <c r="E23" t="s">
        <v>232</v>
      </c>
      <c r="F23">
        <v>249246.06336</v>
      </c>
      <c r="G23">
        <v>872</v>
      </c>
      <c r="H23">
        <v>249</v>
      </c>
    </row>
    <row r="24" spans="1:8" x14ac:dyDescent="0.3">
      <c r="A24">
        <v>2024</v>
      </c>
      <c r="B24" t="s">
        <v>23</v>
      </c>
      <c r="C24" t="s">
        <v>8</v>
      </c>
      <c r="D24" t="s">
        <v>48</v>
      </c>
      <c r="E24" t="s">
        <v>234</v>
      </c>
      <c r="F24">
        <v>250173.53625599999</v>
      </c>
      <c r="G24">
        <v>610</v>
      </c>
      <c r="H24">
        <v>970</v>
      </c>
    </row>
    <row r="25" spans="1:8" x14ac:dyDescent="0.3">
      <c r="A25">
        <v>2024</v>
      </c>
      <c r="B25" t="s">
        <v>24</v>
      </c>
      <c r="C25" t="s">
        <v>8</v>
      </c>
      <c r="D25" t="s">
        <v>49</v>
      </c>
      <c r="E25" t="s">
        <v>230</v>
      </c>
      <c r="F25">
        <v>256566.223872</v>
      </c>
      <c r="G25">
        <v>784</v>
      </c>
      <c r="H25">
        <v>540</v>
      </c>
    </row>
    <row r="26" spans="1:8" x14ac:dyDescent="0.3">
      <c r="A26">
        <v>2024</v>
      </c>
      <c r="B26" t="s">
        <v>20</v>
      </c>
      <c r="C26" t="s">
        <v>8</v>
      </c>
      <c r="D26" t="s">
        <v>50</v>
      </c>
      <c r="E26" t="s">
        <v>228</v>
      </c>
      <c r="F26">
        <v>258394.51008000001</v>
      </c>
      <c r="G26">
        <v>795</v>
      </c>
      <c r="H26">
        <v>469</v>
      </c>
    </row>
    <row r="27" spans="1:8" x14ac:dyDescent="0.3">
      <c r="A27">
        <v>2024</v>
      </c>
      <c r="B27" t="s">
        <v>23</v>
      </c>
      <c r="C27" t="s">
        <v>8</v>
      </c>
      <c r="D27" t="s">
        <v>51</v>
      </c>
      <c r="E27" t="s">
        <v>235</v>
      </c>
      <c r="F27">
        <v>261909.36576000002</v>
      </c>
      <c r="G27">
        <v>287</v>
      </c>
      <c r="H27">
        <v>744</v>
      </c>
    </row>
    <row r="28" spans="1:8" x14ac:dyDescent="0.3">
      <c r="A28">
        <v>2024</v>
      </c>
      <c r="B28" t="s">
        <v>22</v>
      </c>
      <c r="C28" t="s">
        <v>8</v>
      </c>
      <c r="D28" t="s">
        <v>52</v>
      </c>
      <c r="E28" t="s">
        <v>232</v>
      </c>
      <c r="F28">
        <v>263263.39199999999</v>
      </c>
      <c r="G28">
        <v>93</v>
      </c>
      <c r="H28">
        <v>852</v>
      </c>
    </row>
    <row r="29" spans="1:8" x14ac:dyDescent="0.3">
      <c r="A29">
        <v>2024</v>
      </c>
      <c r="B29" t="s">
        <v>19</v>
      </c>
      <c r="C29" t="s">
        <v>8</v>
      </c>
      <c r="D29" t="s">
        <v>53</v>
      </c>
      <c r="E29" t="s">
        <v>235</v>
      </c>
      <c r="F29">
        <v>273365.97120000003</v>
      </c>
      <c r="G29">
        <v>403</v>
      </c>
      <c r="H29">
        <v>953</v>
      </c>
    </row>
    <row r="30" spans="1:8" x14ac:dyDescent="0.3">
      <c r="A30">
        <v>2024</v>
      </c>
      <c r="B30" t="s">
        <v>25</v>
      </c>
      <c r="C30" t="s">
        <v>8</v>
      </c>
      <c r="D30" t="s">
        <v>54</v>
      </c>
      <c r="E30" t="s">
        <v>232</v>
      </c>
      <c r="F30">
        <v>274155.93676800001</v>
      </c>
      <c r="G30">
        <v>968</v>
      </c>
      <c r="H30">
        <v>330</v>
      </c>
    </row>
    <row r="31" spans="1:8" x14ac:dyDescent="0.3">
      <c r="A31">
        <v>2024</v>
      </c>
      <c r="B31" t="s">
        <v>23</v>
      </c>
      <c r="C31" t="s">
        <v>8</v>
      </c>
      <c r="D31" t="s">
        <v>55</v>
      </c>
      <c r="E31" t="s">
        <v>232</v>
      </c>
      <c r="F31">
        <v>275219.51385599998</v>
      </c>
      <c r="G31">
        <v>749</v>
      </c>
      <c r="H31">
        <v>648</v>
      </c>
    </row>
    <row r="32" spans="1:8" x14ac:dyDescent="0.3">
      <c r="A32">
        <v>2024</v>
      </c>
      <c r="B32" t="s">
        <v>21</v>
      </c>
      <c r="C32" t="s">
        <v>8</v>
      </c>
      <c r="D32" t="s">
        <v>56</v>
      </c>
      <c r="E32" t="s">
        <v>235</v>
      </c>
      <c r="F32">
        <v>282727.69459200004</v>
      </c>
      <c r="G32">
        <v>93</v>
      </c>
      <c r="H32">
        <v>852</v>
      </c>
    </row>
    <row r="33" spans="1:8" x14ac:dyDescent="0.3">
      <c r="A33">
        <v>2024</v>
      </c>
      <c r="B33" t="s">
        <v>26</v>
      </c>
      <c r="C33" t="s">
        <v>8</v>
      </c>
      <c r="D33" t="s">
        <v>57</v>
      </c>
      <c r="E33" t="s">
        <v>231</v>
      </c>
      <c r="F33">
        <v>288646.12224</v>
      </c>
      <c r="G33">
        <v>312</v>
      </c>
      <c r="H33">
        <v>983</v>
      </c>
    </row>
    <row r="34" spans="1:8" x14ac:dyDescent="0.3">
      <c r="A34">
        <v>2024</v>
      </c>
      <c r="B34" t="s">
        <v>24</v>
      </c>
      <c r="C34" t="s">
        <v>8</v>
      </c>
      <c r="D34" t="s">
        <v>58</v>
      </c>
      <c r="E34" t="s">
        <v>232</v>
      </c>
      <c r="F34">
        <v>294115.54636799998</v>
      </c>
      <c r="G34">
        <v>577</v>
      </c>
      <c r="H34">
        <v>175</v>
      </c>
    </row>
    <row r="35" spans="1:8" x14ac:dyDescent="0.3">
      <c r="A35">
        <v>2024</v>
      </c>
      <c r="B35" t="s">
        <v>24</v>
      </c>
      <c r="C35" t="s">
        <v>8</v>
      </c>
      <c r="D35" t="s">
        <v>59</v>
      </c>
      <c r="E35" t="s">
        <v>233</v>
      </c>
      <c r="F35">
        <v>299363.27500799997</v>
      </c>
      <c r="G35">
        <v>692</v>
      </c>
      <c r="H35">
        <v>300</v>
      </c>
    </row>
    <row r="36" spans="1:8" x14ac:dyDescent="0.3">
      <c r="A36">
        <v>2024</v>
      </c>
      <c r="B36" t="s">
        <v>23</v>
      </c>
      <c r="C36" t="s">
        <v>8</v>
      </c>
      <c r="D36" t="s">
        <v>60</v>
      </c>
      <c r="E36" t="s">
        <v>235</v>
      </c>
      <c r="F36">
        <v>312211.79136000003</v>
      </c>
      <c r="G36">
        <v>597</v>
      </c>
      <c r="H36">
        <v>287</v>
      </c>
    </row>
    <row r="37" spans="1:8" x14ac:dyDescent="0.3">
      <c r="A37">
        <v>2024</v>
      </c>
      <c r="B37" t="s">
        <v>27</v>
      </c>
      <c r="C37" t="s">
        <v>8</v>
      </c>
      <c r="D37" t="s">
        <v>61</v>
      </c>
      <c r="E37" t="s">
        <v>232</v>
      </c>
      <c r="F37">
        <v>313522.32038399996</v>
      </c>
      <c r="G37">
        <v>749</v>
      </c>
      <c r="H37">
        <v>648</v>
      </c>
    </row>
    <row r="38" spans="1:8" x14ac:dyDescent="0.3">
      <c r="A38">
        <v>2024</v>
      </c>
      <c r="B38" t="s">
        <v>21</v>
      </c>
      <c r="C38" t="s">
        <v>8</v>
      </c>
      <c r="D38" t="s">
        <v>62</v>
      </c>
      <c r="E38" t="s">
        <v>230</v>
      </c>
      <c r="F38">
        <v>319777.50067199999</v>
      </c>
      <c r="G38">
        <v>287</v>
      </c>
      <c r="H38">
        <v>744</v>
      </c>
    </row>
    <row r="39" spans="1:8" x14ac:dyDescent="0.3">
      <c r="A39">
        <v>2024</v>
      </c>
      <c r="B39" t="s">
        <v>19</v>
      </c>
      <c r="C39" t="s">
        <v>8</v>
      </c>
      <c r="D39" t="s">
        <v>63</v>
      </c>
      <c r="E39" t="s">
        <v>228</v>
      </c>
      <c r="F39">
        <v>329762.21644799999</v>
      </c>
      <c r="G39">
        <v>93</v>
      </c>
      <c r="H39">
        <v>852</v>
      </c>
    </row>
    <row r="40" spans="1:8" x14ac:dyDescent="0.3">
      <c r="A40">
        <v>2024</v>
      </c>
      <c r="B40" t="s">
        <v>19</v>
      </c>
      <c r="C40" t="s">
        <v>8</v>
      </c>
      <c r="D40" t="s">
        <v>64</v>
      </c>
      <c r="E40" t="s">
        <v>233</v>
      </c>
      <c r="F40">
        <v>333881.82374399994</v>
      </c>
      <c r="G40">
        <v>577</v>
      </c>
      <c r="H40">
        <v>175</v>
      </c>
    </row>
    <row r="41" spans="1:8" x14ac:dyDescent="0.3">
      <c r="A41">
        <v>2024</v>
      </c>
      <c r="B41" t="s">
        <v>23</v>
      </c>
      <c r="C41" t="s">
        <v>8</v>
      </c>
      <c r="D41" t="s">
        <v>65</v>
      </c>
      <c r="E41" t="s">
        <v>228</v>
      </c>
      <c r="F41">
        <v>335927.59603200003</v>
      </c>
      <c r="G41">
        <v>784</v>
      </c>
      <c r="H41">
        <v>540</v>
      </c>
    </row>
    <row r="42" spans="1:8" x14ac:dyDescent="0.3">
      <c r="A42">
        <v>2024</v>
      </c>
      <c r="B42" t="s">
        <v>21</v>
      </c>
      <c r="C42" t="s">
        <v>8</v>
      </c>
      <c r="D42" t="s">
        <v>66</v>
      </c>
      <c r="E42" t="s">
        <v>236</v>
      </c>
      <c r="F42">
        <v>344920.29465600004</v>
      </c>
      <c r="G42">
        <v>784</v>
      </c>
      <c r="H42">
        <v>540</v>
      </c>
    </row>
    <row r="43" spans="1:8" x14ac:dyDescent="0.3">
      <c r="A43">
        <v>2024</v>
      </c>
      <c r="B43" t="s">
        <v>19</v>
      </c>
      <c r="C43" t="s">
        <v>8</v>
      </c>
      <c r="D43" t="s">
        <v>67</v>
      </c>
      <c r="E43" t="s">
        <v>229</v>
      </c>
      <c r="F43">
        <v>345122.34623999998</v>
      </c>
      <c r="G43">
        <v>577</v>
      </c>
      <c r="H43">
        <v>175</v>
      </c>
    </row>
    <row r="44" spans="1:8" x14ac:dyDescent="0.3">
      <c r="A44">
        <v>2024</v>
      </c>
      <c r="B44" t="s">
        <v>24</v>
      </c>
      <c r="C44" t="s">
        <v>8</v>
      </c>
      <c r="D44" t="s">
        <v>68</v>
      </c>
      <c r="E44" t="s">
        <v>228</v>
      </c>
      <c r="F44">
        <v>345515.22432000004</v>
      </c>
      <c r="G44">
        <v>610</v>
      </c>
      <c r="H44">
        <v>970</v>
      </c>
    </row>
    <row r="45" spans="1:8" x14ac:dyDescent="0.3">
      <c r="A45">
        <v>2024</v>
      </c>
      <c r="B45" t="s">
        <v>21</v>
      </c>
      <c r="C45" t="s">
        <v>8</v>
      </c>
      <c r="D45" t="s">
        <v>69</v>
      </c>
      <c r="E45" t="s">
        <v>232</v>
      </c>
      <c r="F45">
        <v>353740.40755200008</v>
      </c>
      <c r="G45">
        <v>413</v>
      </c>
      <c r="H45">
        <v>930</v>
      </c>
    </row>
    <row r="46" spans="1:8" x14ac:dyDescent="0.3">
      <c r="A46">
        <v>2024</v>
      </c>
      <c r="B46" t="s">
        <v>26</v>
      </c>
      <c r="C46" t="s">
        <v>8</v>
      </c>
      <c r="D46" t="s">
        <v>70</v>
      </c>
      <c r="E46" t="s">
        <v>230</v>
      </c>
      <c r="F46">
        <v>369869.45587200002</v>
      </c>
      <c r="G46">
        <v>312</v>
      </c>
      <c r="H46">
        <v>983</v>
      </c>
    </row>
    <row r="47" spans="1:8" x14ac:dyDescent="0.3">
      <c r="A47">
        <v>2024</v>
      </c>
      <c r="B47" t="s">
        <v>21</v>
      </c>
      <c r="C47" t="s">
        <v>8</v>
      </c>
      <c r="D47" t="s">
        <v>71</v>
      </c>
      <c r="E47" t="s">
        <v>234</v>
      </c>
      <c r="F47">
        <v>381630.54182400007</v>
      </c>
      <c r="G47">
        <v>287</v>
      </c>
      <c r="H47">
        <v>744</v>
      </c>
    </row>
    <row r="48" spans="1:8" x14ac:dyDescent="0.3">
      <c r="A48">
        <v>2024</v>
      </c>
      <c r="B48" t="s">
        <v>23</v>
      </c>
      <c r="C48" t="s">
        <v>8</v>
      </c>
      <c r="D48" t="s">
        <v>72</v>
      </c>
      <c r="E48" t="s">
        <v>229</v>
      </c>
      <c r="F48">
        <v>384175.83052800002</v>
      </c>
      <c r="G48">
        <v>413</v>
      </c>
      <c r="H48">
        <v>930</v>
      </c>
    </row>
    <row r="49" spans="1:8" x14ac:dyDescent="0.3">
      <c r="A49">
        <v>2024</v>
      </c>
      <c r="B49" t="s">
        <v>27</v>
      </c>
      <c r="C49" t="s">
        <v>8</v>
      </c>
      <c r="D49" t="s">
        <v>73</v>
      </c>
      <c r="E49" t="s">
        <v>229</v>
      </c>
      <c r="F49">
        <v>384175.83052800002</v>
      </c>
      <c r="G49">
        <v>413</v>
      </c>
      <c r="H49">
        <v>930</v>
      </c>
    </row>
    <row r="50" spans="1:8" x14ac:dyDescent="0.3">
      <c r="A50">
        <v>2024</v>
      </c>
      <c r="B50" t="s">
        <v>20</v>
      </c>
      <c r="C50" t="s">
        <v>8</v>
      </c>
      <c r="D50" t="s">
        <v>74</v>
      </c>
      <c r="E50" t="s">
        <v>233</v>
      </c>
      <c r="F50">
        <v>400913.83987199998</v>
      </c>
      <c r="G50">
        <v>872</v>
      </c>
      <c r="H50">
        <v>249</v>
      </c>
    </row>
    <row r="51" spans="1:8" x14ac:dyDescent="0.3">
      <c r="A51">
        <v>2024</v>
      </c>
      <c r="B51" t="s">
        <v>27</v>
      </c>
      <c r="C51" t="s">
        <v>8</v>
      </c>
      <c r="D51" t="s">
        <v>75</v>
      </c>
      <c r="E51" t="s">
        <v>228</v>
      </c>
      <c r="F51">
        <v>427036.02278400009</v>
      </c>
      <c r="G51">
        <v>413</v>
      </c>
      <c r="H51">
        <v>930</v>
      </c>
    </row>
    <row r="52" spans="1:8" x14ac:dyDescent="0.3">
      <c r="A52">
        <v>2024</v>
      </c>
      <c r="B52" t="s">
        <v>25</v>
      </c>
      <c r="C52" t="s">
        <v>8</v>
      </c>
      <c r="D52" t="s">
        <v>76</v>
      </c>
      <c r="E52" t="s">
        <v>234</v>
      </c>
      <c r="F52">
        <v>430367.06764799997</v>
      </c>
      <c r="G52">
        <v>784</v>
      </c>
      <c r="H52">
        <v>540</v>
      </c>
    </row>
    <row r="53" spans="1:8" x14ac:dyDescent="0.3">
      <c r="A53">
        <v>2024</v>
      </c>
      <c r="B53" t="s">
        <v>19</v>
      </c>
      <c r="C53" t="s">
        <v>8</v>
      </c>
      <c r="D53" t="s">
        <v>77</v>
      </c>
      <c r="E53" t="s">
        <v>236</v>
      </c>
      <c r="F53">
        <v>437610.05567999993</v>
      </c>
      <c r="G53">
        <v>413</v>
      </c>
      <c r="H53">
        <v>930</v>
      </c>
    </row>
    <row r="54" spans="1:8" x14ac:dyDescent="0.3">
      <c r="A54">
        <v>2024</v>
      </c>
      <c r="B54" t="s">
        <v>21</v>
      </c>
      <c r="C54" t="s">
        <v>8</v>
      </c>
      <c r="D54" t="s">
        <v>78</v>
      </c>
      <c r="E54" t="s">
        <v>231</v>
      </c>
      <c r="F54">
        <v>441520.59571199998</v>
      </c>
      <c r="G54">
        <v>795</v>
      </c>
      <c r="H54">
        <v>469</v>
      </c>
    </row>
    <row r="55" spans="1:8" x14ac:dyDescent="0.3">
      <c r="A55">
        <v>2024</v>
      </c>
      <c r="B55" t="s">
        <v>21</v>
      </c>
      <c r="C55" t="s">
        <v>8</v>
      </c>
      <c r="D55" t="s">
        <v>79</v>
      </c>
      <c r="E55" t="s">
        <v>232</v>
      </c>
      <c r="F55">
        <v>447134.54284799995</v>
      </c>
      <c r="G55">
        <v>597</v>
      </c>
      <c r="H55">
        <v>287</v>
      </c>
    </row>
    <row r="56" spans="1:8" x14ac:dyDescent="0.3">
      <c r="A56">
        <v>2024</v>
      </c>
      <c r="B56" t="s">
        <v>19</v>
      </c>
      <c r="C56" t="s">
        <v>8</v>
      </c>
      <c r="D56" t="s">
        <v>80</v>
      </c>
      <c r="E56" t="s">
        <v>232</v>
      </c>
      <c r="F56">
        <v>459099.08352000004</v>
      </c>
      <c r="G56">
        <v>968</v>
      </c>
      <c r="H56">
        <v>330</v>
      </c>
    </row>
    <row r="57" spans="1:8" x14ac:dyDescent="0.3">
      <c r="A57">
        <v>2024</v>
      </c>
      <c r="B57" t="s">
        <v>21</v>
      </c>
      <c r="C57" t="s">
        <v>8</v>
      </c>
      <c r="D57" t="s">
        <v>81</v>
      </c>
      <c r="E57" t="s">
        <v>228</v>
      </c>
      <c r="F57">
        <v>460690.23974400002</v>
      </c>
      <c r="G57">
        <v>930</v>
      </c>
      <c r="H57">
        <v>563</v>
      </c>
    </row>
    <row r="58" spans="1:8" x14ac:dyDescent="0.3">
      <c r="A58">
        <v>2024</v>
      </c>
      <c r="B58" t="s">
        <v>18</v>
      </c>
      <c r="C58" t="s">
        <v>8</v>
      </c>
      <c r="D58" t="s">
        <v>82</v>
      </c>
      <c r="E58" t="s">
        <v>231</v>
      </c>
      <c r="F58">
        <v>465025.92998400005</v>
      </c>
      <c r="G58">
        <v>692</v>
      </c>
      <c r="H58">
        <v>300</v>
      </c>
    </row>
    <row r="59" spans="1:8" x14ac:dyDescent="0.3">
      <c r="A59">
        <v>2024</v>
      </c>
      <c r="B59" t="s">
        <v>18</v>
      </c>
      <c r="C59" t="s">
        <v>8</v>
      </c>
      <c r="D59" t="s">
        <v>83</v>
      </c>
      <c r="E59" t="s">
        <v>236</v>
      </c>
      <c r="F59">
        <v>465195.70944000001</v>
      </c>
      <c r="G59">
        <v>872</v>
      </c>
      <c r="H59">
        <v>249</v>
      </c>
    </row>
    <row r="60" spans="1:8" x14ac:dyDescent="0.3">
      <c r="A60">
        <v>2024</v>
      </c>
      <c r="B60" t="s">
        <v>25</v>
      </c>
      <c r="C60" t="s">
        <v>8</v>
      </c>
      <c r="D60" t="s">
        <v>84</v>
      </c>
      <c r="E60" t="s">
        <v>232</v>
      </c>
      <c r="F60">
        <v>486983.60524799995</v>
      </c>
      <c r="G60">
        <v>839</v>
      </c>
      <c r="H60">
        <v>983</v>
      </c>
    </row>
    <row r="61" spans="1:8" x14ac:dyDescent="0.3">
      <c r="A61">
        <v>2024</v>
      </c>
      <c r="B61" t="s">
        <v>26</v>
      </c>
      <c r="C61" t="s">
        <v>8</v>
      </c>
      <c r="D61" t="s">
        <v>85</v>
      </c>
      <c r="E61" t="s">
        <v>231</v>
      </c>
      <c r="F61">
        <v>488832.93849600002</v>
      </c>
      <c r="G61">
        <v>287</v>
      </c>
      <c r="H61">
        <v>744</v>
      </c>
    </row>
    <row r="62" spans="1:8" x14ac:dyDescent="0.3">
      <c r="A62">
        <v>2024</v>
      </c>
      <c r="B62" t="s">
        <v>19</v>
      </c>
      <c r="C62" t="s">
        <v>8</v>
      </c>
      <c r="D62" t="s">
        <v>86</v>
      </c>
      <c r="E62" t="s">
        <v>235</v>
      </c>
      <c r="F62">
        <v>495771.446016</v>
      </c>
      <c r="G62">
        <v>930</v>
      </c>
      <c r="H62">
        <v>563</v>
      </c>
    </row>
    <row r="63" spans="1:8" x14ac:dyDescent="0.3">
      <c r="A63">
        <v>2024</v>
      </c>
      <c r="B63" t="s">
        <v>22</v>
      </c>
      <c r="C63" t="s">
        <v>8</v>
      </c>
      <c r="D63" t="s">
        <v>87</v>
      </c>
      <c r="E63" t="s">
        <v>233</v>
      </c>
      <c r="F63">
        <v>496606.31193600001</v>
      </c>
      <c r="G63">
        <v>210</v>
      </c>
      <c r="H63">
        <v>177</v>
      </c>
    </row>
    <row r="64" spans="1:8" x14ac:dyDescent="0.3">
      <c r="A64">
        <v>2024</v>
      </c>
      <c r="B64" t="s">
        <v>25</v>
      </c>
      <c r="C64" t="s">
        <v>8</v>
      </c>
      <c r="D64" t="s">
        <v>88</v>
      </c>
      <c r="E64" t="s">
        <v>228</v>
      </c>
      <c r="F64">
        <v>496606.31193600001</v>
      </c>
      <c r="G64">
        <v>577</v>
      </c>
      <c r="H64">
        <v>175</v>
      </c>
    </row>
    <row r="65" spans="1:8" x14ac:dyDescent="0.3">
      <c r="A65">
        <v>2024</v>
      </c>
      <c r="B65" t="s">
        <v>20</v>
      </c>
      <c r="C65" t="s">
        <v>8</v>
      </c>
      <c r="D65" t="s">
        <v>89</v>
      </c>
      <c r="E65" t="s">
        <v>231</v>
      </c>
      <c r="F65">
        <v>508120.44595199998</v>
      </c>
      <c r="G65">
        <v>839</v>
      </c>
      <c r="H65">
        <v>334</v>
      </c>
    </row>
    <row r="66" spans="1:8" x14ac:dyDescent="0.3">
      <c r="A66">
        <v>2024</v>
      </c>
      <c r="B66" t="s">
        <v>24</v>
      </c>
      <c r="C66" t="s">
        <v>8</v>
      </c>
      <c r="D66" t="s">
        <v>90</v>
      </c>
      <c r="E66" t="s">
        <v>234</v>
      </c>
      <c r="F66">
        <v>523110.14783999999</v>
      </c>
      <c r="G66">
        <v>403</v>
      </c>
      <c r="H66">
        <v>953</v>
      </c>
    </row>
    <row r="67" spans="1:8" x14ac:dyDescent="0.3">
      <c r="A67">
        <v>2024</v>
      </c>
      <c r="B67" t="s">
        <v>24</v>
      </c>
      <c r="C67" t="s">
        <v>8</v>
      </c>
      <c r="D67" t="s">
        <v>91</v>
      </c>
      <c r="E67" t="s">
        <v>232</v>
      </c>
      <c r="F67">
        <v>528318.58867199998</v>
      </c>
      <c r="G67">
        <v>968</v>
      </c>
      <c r="H67">
        <v>330</v>
      </c>
    </row>
    <row r="68" spans="1:8" x14ac:dyDescent="0.3">
      <c r="A68">
        <v>2024</v>
      </c>
      <c r="B68" t="s">
        <v>19</v>
      </c>
      <c r="C68" t="s">
        <v>8</v>
      </c>
      <c r="D68" t="s">
        <v>92</v>
      </c>
      <c r="E68" t="s">
        <v>233</v>
      </c>
      <c r="F68">
        <v>538040.91801599995</v>
      </c>
      <c r="G68">
        <v>287</v>
      </c>
      <c r="H68">
        <v>744</v>
      </c>
    </row>
    <row r="69" spans="1:8" x14ac:dyDescent="0.3">
      <c r="A69">
        <v>2024</v>
      </c>
      <c r="B69" t="s">
        <v>19</v>
      </c>
      <c r="C69" t="s">
        <v>8</v>
      </c>
      <c r="D69" t="s">
        <v>93</v>
      </c>
      <c r="E69" t="s">
        <v>232</v>
      </c>
      <c r="F69">
        <v>548578.46937599999</v>
      </c>
      <c r="G69">
        <v>210</v>
      </c>
      <c r="H69">
        <v>177</v>
      </c>
    </row>
    <row r="70" spans="1:8" x14ac:dyDescent="0.3">
      <c r="A70">
        <v>2024</v>
      </c>
      <c r="B70" t="s">
        <v>18</v>
      </c>
      <c r="C70" t="s">
        <v>8</v>
      </c>
      <c r="D70" t="s">
        <v>94</v>
      </c>
      <c r="E70" t="s">
        <v>236</v>
      </c>
      <c r="F70">
        <v>550469.89670399996</v>
      </c>
      <c r="G70">
        <v>839</v>
      </c>
      <c r="H70">
        <v>983</v>
      </c>
    </row>
    <row r="71" spans="1:8" x14ac:dyDescent="0.3">
      <c r="A71">
        <v>2024</v>
      </c>
      <c r="B71" t="s">
        <v>25</v>
      </c>
      <c r="C71" t="s">
        <v>8</v>
      </c>
      <c r="D71" t="s">
        <v>95</v>
      </c>
      <c r="E71" t="s">
        <v>231</v>
      </c>
      <c r="F71">
        <v>556027.71840000001</v>
      </c>
      <c r="G71">
        <v>839</v>
      </c>
      <c r="H71">
        <v>334</v>
      </c>
    </row>
    <row r="72" spans="1:8" x14ac:dyDescent="0.3">
      <c r="A72">
        <v>2024</v>
      </c>
      <c r="B72" t="s">
        <v>23</v>
      </c>
      <c r="C72" t="s">
        <v>8</v>
      </c>
      <c r="D72" t="s">
        <v>96</v>
      </c>
      <c r="E72" t="s">
        <v>228</v>
      </c>
      <c r="F72">
        <v>572911.65388800006</v>
      </c>
      <c r="G72">
        <v>403</v>
      </c>
      <c r="H72">
        <v>953</v>
      </c>
    </row>
    <row r="73" spans="1:8" x14ac:dyDescent="0.3">
      <c r="A73">
        <v>2024</v>
      </c>
      <c r="B73" t="s">
        <v>24</v>
      </c>
      <c r="C73" t="s">
        <v>8</v>
      </c>
      <c r="D73" t="s">
        <v>97</v>
      </c>
      <c r="E73" t="s">
        <v>235</v>
      </c>
      <c r="F73">
        <v>577713.18527999998</v>
      </c>
      <c r="G73">
        <v>968</v>
      </c>
      <c r="H73">
        <v>330</v>
      </c>
    </row>
    <row r="74" spans="1:8" x14ac:dyDescent="0.3">
      <c r="A74">
        <v>2024</v>
      </c>
      <c r="B74" t="s">
        <v>21</v>
      </c>
      <c r="C74" t="s">
        <v>8</v>
      </c>
      <c r="D74" t="s">
        <v>98</v>
      </c>
      <c r="E74" t="s">
        <v>236</v>
      </c>
      <c r="F74">
        <v>579979.24992000009</v>
      </c>
      <c r="G74">
        <v>610</v>
      </c>
      <c r="H74">
        <v>970</v>
      </c>
    </row>
    <row r="75" spans="1:8" x14ac:dyDescent="0.3">
      <c r="A75">
        <v>2024</v>
      </c>
      <c r="B75" t="s">
        <v>20</v>
      </c>
      <c r="C75" t="s">
        <v>8</v>
      </c>
      <c r="D75" t="s">
        <v>99</v>
      </c>
      <c r="E75" t="s">
        <v>232</v>
      </c>
      <c r="F75">
        <v>584211.10809600004</v>
      </c>
      <c r="G75">
        <v>312</v>
      </c>
      <c r="H75">
        <v>983</v>
      </c>
    </row>
    <row r="76" spans="1:8" x14ac:dyDescent="0.3">
      <c r="A76">
        <v>2024</v>
      </c>
      <c r="B76" t="s">
        <v>24</v>
      </c>
      <c r="C76" t="s">
        <v>8</v>
      </c>
      <c r="D76" t="s">
        <v>100</v>
      </c>
      <c r="E76" t="s">
        <v>235</v>
      </c>
      <c r="F76">
        <v>584991.251712</v>
      </c>
      <c r="G76">
        <v>577</v>
      </c>
      <c r="H76">
        <v>175</v>
      </c>
    </row>
    <row r="77" spans="1:8" x14ac:dyDescent="0.3">
      <c r="A77">
        <v>2024</v>
      </c>
      <c r="B77" t="s">
        <v>23</v>
      </c>
      <c r="C77" t="s">
        <v>8</v>
      </c>
      <c r="D77" t="s">
        <v>101</v>
      </c>
      <c r="E77" t="s">
        <v>233</v>
      </c>
      <c r="F77">
        <v>585434.64268799999</v>
      </c>
      <c r="G77">
        <v>610</v>
      </c>
      <c r="H77">
        <v>970</v>
      </c>
    </row>
    <row r="78" spans="1:8" x14ac:dyDescent="0.3">
      <c r="A78">
        <v>2024</v>
      </c>
      <c r="B78" t="s">
        <v>21</v>
      </c>
      <c r="C78" t="s">
        <v>8</v>
      </c>
      <c r="D78" t="s">
        <v>102</v>
      </c>
      <c r="E78" t="s">
        <v>235</v>
      </c>
      <c r="F78">
        <v>590038.33190400002</v>
      </c>
      <c r="G78">
        <v>413</v>
      </c>
      <c r="H78">
        <v>930</v>
      </c>
    </row>
    <row r="79" spans="1:8" x14ac:dyDescent="0.3">
      <c r="A79">
        <v>2024</v>
      </c>
      <c r="B79" t="s">
        <v>25</v>
      </c>
      <c r="C79" t="s">
        <v>8</v>
      </c>
      <c r="D79" t="s">
        <v>103</v>
      </c>
      <c r="E79" t="s">
        <v>234</v>
      </c>
      <c r="F79">
        <v>592566.78297599999</v>
      </c>
      <c r="G79">
        <v>692</v>
      </c>
      <c r="H79">
        <v>300</v>
      </c>
    </row>
    <row r="80" spans="1:8" x14ac:dyDescent="0.3">
      <c r="A80">
        <v>2024</v>
      </c>
      <c r="B80" t="s">
        <v>21</v>
      </c>
      <c r="C80" t="s">
        <v>8</v>
      </c>
      <c r="D80" t="s">
        <v>104</v>
      </c>
      <c r="E80" t="s">
        <v>234</v>
      </c>
      <c r="F80">
        <v>597293.94816000003</v>
      </c>
      <c r="G80">
        <v>692</v>
      </c>
      <c r="H80">
        <v>300</v>
      </c>
    </row>
    <row r="81" spans="1:8" x14ac:dyDescent="0.3">
      <c r="A81">
        <v>2024</v>
      </c>
      <c r="B81" t="s">
        <v>21</v>
      </c>
      <c r="C81" t="s">
        <v>8</v>
      </c>
      <c r="D81" t="s">
        <v>105</v>
      </c>
      <c r="E81" t="s">
        <v>233</v>
      </c>
      <c r="F81">
        <v>601551.06278400007</v>
      </c>
      <c r="G81">
        <v>872</v>
      </c>
      <c r="H81">
        <v>249</v>
      </c>
    </row>
    <row r="82" spans="1:8" x14ac:dyDescent="0.3">
      <c r="A82">
        <v>2024</v>
      </c>
      <c r="B82" t="s">
        <v>20</v>
      </c>
      <c r="C82" t="s">
        <v>8</v>
      </c>
      <c r="D82" t="s">
        <v>106</v>
      </c>
      <c r="E82" t="s">
        <v>232</v>
      </c>
      <c r="F82">
        <v>604409.25081599993</v>
      </c>
      <c r="G82">
        <v>568</v>
      </c>
      <c r="H82">
        <v>505</v>
      </c>
    </row>
    <row r="83" spans="1:8" x14ac:dyDescent="0.3">
      <c r="A83">
        <v>2024</v>
      </c>
      <c r="B83" t="s">
        <v>27</v>
      </c>
      <c r="C83" t="s">
        <v>8</v>
      </c>
      <c r="D83" t="s">
        <v>107</v>
      </c>
      <c r="E83" t="s">
        <v>231</v>
      </c>
      <c r="F83">
        <v>604409.25081599993</v>
      </c>
      <c r="G83">
        <v>692</v>
      </c>
      <c r="H83">
        <v>300</v>
      </c>
    </row>
    <row r="84" spans="1:8" x14ac:dyDescent="0.3">
      <c r="A84">
        <v>2024</v>
      </c>
      <c r="B84" t="s">
        <v>20</v>
      </c>
      <c r="C84" t="s">
        <v>8</v>
      </c>
      <c r="D84" t="s">
        <v>108</v>
      </c>
      <c r="E84" t="s">
        <v>236</v>
      </c>
      <c r="F84">
        <v>605954.1035519999</v>
      </c>
      <c r="G84">
        <v>930</v>
      </c>
      <c r="H84">
        <v>563</v>
      </c>
    </row>
    <row r="85" spans="1:8" x14ac:dyDescent="0.3">
      <c r="A85">
        <v>2024</v>
      </c>
      <c r="B85" t="s">
        <v>24</v>
      </c>
      <c r="C85" t="s">
        <v>8</v>
      </c>
      <c r="D85" t="s">
        <v>109</v>
      </c>
      <c r="E85" t="s">
        <v>231</v>
      </c>
      <c r="F85">
        <v>611409.49632000003</v>
      </c>
      <c r="G85">
        <v>210</v>
      </c>
      <c r="H85">
        <v>177</v>
      </c>
    </row>
    <row r="86" spans="1:8" x14ac:dyDescent="0.3">
      <c r="A86">
        <v>2024</v>
      </c>
      <c r="B86" t="s">
        <v>19</v>
      </c>
      <c r="C86" t="s">
        <v>8</v>
      </c>
      <c r="D86" t="s">
        <v>110</v>
      </c>
      <c r="E86" t="s">
        <v>231</v>
      </c>
      <c r="F86">
        <v>615400.01510399999</v>
      </c>
      <c r="G86">
        <v>577</v>
      </c>
      <c r="H86">
        <v>175</v>
      </c>
    </row>
    <row r="87" spans="1:8" x14ac:dyDescent="0.3">
      <c r="A87">
        <v>2024</v>
      </c>
      <c r="B87" t="s">
        <v>20</v>
      </c>
      <c r="C87" t="s">
        <v>8</v>
      </c>
      <c r="D87" t="s">
        <v>111</v>
      </c>
      <c r="E87" t="s">
        <v>228</v>
      </c>
      <c r="F87">
        <v>640649.44742400013</v>
      </c>
      <c r="G87">
        <v>210</v>
      </c>
      <c r="H87">
        <v>177</v>
      </c>
    </row>
    <row r="88" spans="1:8" x14ac:dyDescent="0.3">
      <c r="A88">
        <v>2024</v>
      </c>
      <c r="B88" t="s">
        <v>20</v>
      </c>
      <c r="C88" t="s">
        <v>8</v>
      </c>
      <c r="D88" t="s">
        <v>112</v>
      </c>
      <c r="E88" t="s">
        <v>231</v>
      </c>
      <c r="F88">
        <v>643429.05983999989</v>
      </c>
      <c r="G88">
        <v>930</v>
      </c>
      <c r="H88">
        <v>563</v>
      </c>
    </row>
    <row r="89" spans="1:8" x14ac:dyDescent="0.3">
      <c r="A89">
        <v>2024</v>
      </c>
      <c r="B89" t="s">
        <v>19</v>
      </c>
      <c r="C89" t="s">
        <v>8</v>
      </c>
      <c r="D89" t="s">
        <v>113</v>
      </c>
      <c r="E89" t="s">
        <v>231</v>
      </c>
      <c r="F89">
        <v>643582.00166399998</v>
      </c>
      <c r="G89">
        <v>692</v>
      </c>
      <c r="H89">
        <v>300</v>
      </c>
    </row>
    <row r="90" spans="1:8" x14ac:dyDescent="0.3">
      <c r="A90">
        <v>2024</v>
      </c>
      <c r="B90" t="s">
        <v>18</v>
      </c>
      <c r="C90" t="s">
        <v>8</v>
      </c>
      <c r="D90" t="s">
        <v>114</v>
      </c>
      <c r="E90" t="s">
        <v>228</v>
      </c>
      <c r="F90">
        <v>643582.00166399998</v>
      </c>
      <c r="G90">
        <v>403</v>
      </c>
      <c r="H90">
        <v>953</v>
      </c>
    </row>
    <row r="91" spans="1:8" x14ac:dyDescent="0.3">
      <c r="A91">
        <v>2024</v>
      </c>
      <c r="B91" t="s">
        <v>19</v>
      </c>
      <c r="C91" t="s">
        <v>8</v>
      </c>
      <c r="D91" t="s">
        <v>115</v>
      </c>
      <c r="E91" t="s">
        <v>234</v>
      </c>
      <c r="F91">
        <v>653669.14636799996</v>
      </c>
      <c r="G91">
        <v>413</v>
      </c>
      <c r="H91">
        <v>930</v>
      </c>
    </row>
    <row r="92" spans="1:8" x14ac:dyDescent="0.3">
      <c r="A92">
        <v>2024</v>
      </c>
      <c r="B92" t="s">
        <v>27</v>
      </c>
      <c r="C92" t="s">
        <v>8</v>
      </c>
      <c r="D92" t="s">
        <v>116</v>
      </c>
      <c r="E92" t="s">
        <v>228</v>
      </c>
      <c r="F92">
        <v>654609.24748800008</v>
      </c>
      <c r="G92">
        <v>403</v>
      </c>
      <c r="H92">
        <v>953</v>
      </c>
    </row>
    <row r="93" spans="1:8" x14ac:dyDescent="0.3">
      <c r="A93">
        <v>2024</v>
      </c>
      <c r="B93" t="s">
        <v>24</v>
      </c>
      <c r="C93" t="s">
        <v>8</v>
      </c>
      <c r="D93" t="s">
        <v>117</v>
      </c>
      <c r="E93" t="s">
        <v>230</v>
      </c>
      <c r="F93">
        <v>657531.97977600014</v>
      </c>
      <c r="G93">
        <v>568</v>
      </c>
      <c r="H93">
        <v>505</v>
      </c>
    </row>
    <row r="94" spans="1:8" x14ac:dyDescent="0.3">
      <c r="A94">
        <v>2024</v>
      </c>
      <c r="B94" t="s">
        <v>26</v>
      </c>
      <c r="C94" t="s">
        <v>8</v>
      </c>
      <c r="D94" t="s">
        <v>118</v>
      </c>
      <c r="E94" t="s">
        <v>234</v>
      </c>
      <c r="F94">
        <v>657644.23065599997</v>
      </c>
      <c r="G94">
        <v>413</v>
      </c>
      <c r="H94">
        <v>930</v>
      </c>
    </row>
    <row r="95" spans="1:8" x14ac:dyDescent="0.3">
      <c r="A95">
        <v>2024</v>
      </c>
      <c r="B95" t="s">
        <v>27</v>
      </c>
      <c r="C95" t="s">
        <v>8</v>
      </c>
      <c r="D95" t="s">
        <v>119</v>
      </c>
      <c r="E95" t="s">
        <v>231</v>
      </c>
      <c r="F95">
        <v>659967.82387199998</v>
      </c>
      <c r="G95">
        <v>839</v>
      </c>
      <c r="H95">
        <v>334</v>
      </c>
    </row>
    <row r="96" spans="1:8" x14ac:dyDescent="0.3">
      <c r="A96">
        <v>2024</v>
      </c>
      <c r="B96" t="s">
        <v>25</v>
      </c>
      <c r="C96" t="s">
        <v>8</v>
      </c>
      <c r="D96" t="s">
        <v>120</v>
      </c>
      <c r="E96" t="s">
        <v>232</v>
      </c>
      <c r="F96">
        <v>662396.65228799998</v>
      </c>
      <c r="G96">
        <v>93</v>
      </c>
      <c r="H96">
        <v>852</v>
      </c>
    </row>
    <row r="97" spans="1:8" x14ac:dyDescent="0.3">
      <c r="A97">
        <v>2024</v>
      </c>
      <c r="B97" t="s">
        <v>21</v>
      </c>
      <c r="C97" t="s">
        <v>8</v>
      </c>
      <c r="D97" t="s">
        <v>121</v>
      </c>
      <c r="E97" t="s">
        <v>236</v>
      </c>
      <c r="F97">
        <v>675998.652672</v>
      </c>
      <c r="G97">
        <v>168</v>
      </c>
      <c r="H97">
        <v>97</v>
      </c>
    </row>
    <row r="98" spans="1:8" x14ac:dyDescent="0.3">
      <c r="A98">
        <v>2024</v>
      </c>
      <c r="B98" t="s">
        <v>21</v>
      </c>
      <c r="C98" t="s">
        <v>8</v>
      </c>
      <c r="D98" t="s">
        <v>122</v>
      </c>
      <c r="E98" t="s">
        <v>235</v>
      </c>
      <c r="F98">
        <v>691680.10060800007</v>
      </c>
      <c r="G98">
        <v>930</v>
      </c>
      <c r="H98">
        <v>563</v>
      </c>
    </row>
    <row r="99" spans="1:8" x14ac:dyDescent="0.3">
      <c r="A99">
        <v>2024</v>
      </c>
      <c r="B99" t="s">
        <v>25</v>
      </c>
      <c r="C99" t="s">
        <v>8</v>
      </c>
      <c r="D99" t="s">
        <v>123</v>
      </c>
      <c r="E99" t="s">
        <v>236</v>
      </c>
      <c r="F99">
        <v>693425.601792</v>
      </c>
      <c r="G99">
        <v>597</v>
      </c>
      <c r="H99">
        <v>287</v>
      </c>
    </row>
    <row r="100" spans="1:8" x14ac:dyDescent="0.3">
      <c r="A100">
        <v>2024</v>
      </c>
      <c r="B100" t="s">
        <v>27</v>
      </c>
      <c r="C100" t="s">
        <v>8</v>
      </c>
      <c r="D100" t="s">
        <v>124</v>
      </c>
      <c r="E100" t="s">
        <v>234</v>
      </c>
      <c r="F100">
        <v>701698.49164799997</v>
      </c>
      <c r="G100">
        <v>784</v>
      </c>
      <c r="H100">
        <v>540</v>
      </c>
    </row>
    <row r="101" spans="1:8" x14ac:dyDescent="0.3">
      <c r="A101">
        <v>2024</v>
      </c>
      <c r="B101" t="s">
        <v>23</v>
      </c>
      <c r="C101" t="s">
        <v>8</v>
      </c>
      <c r="D101" t="s">
        <v>125</v>
      </c>
      <c r="E101" t="s">
        <v>235</v>
      </c>
      <c r="F101">
        <v>705754.95782400004</v>
      </c>
      <c r="G101">
        <v>568</v>
      </c>
      <c r="H101">
        <v>505</v>
      </c>
    </row>
    <row r="102" spans="1:8" x14ac:dyDescent="0.3">
      <c r="A102">
        <v>2024</v>
      </c>
      <c r="B102" t="s">
        <v>24</v>
      </c>
      <c r="C102" t="s">
        <v>8</v>
      </c>
      <c r="D102" t="s">
        <v>126</v>
      </c>
      <c r="E102" t="s">
        <v>230</v>
      </c>
      <c r="F102">
        <v>709523.78112000006</v>
      </c>
      <c r="G102">
        <v>795</v>
      </c>
      <c r="H102">
        <v>469</v>
      </c>
    </row>
    <row r="103" spans="1:8" x14ac:dyDescent="0.3">
      <c r="A103">
        <v>2024</v>
      </c>
      <c r="B103" t="s">
        <v>21</v>
      </c>
      <c r="C103" t="s">
        <v>8</v>
      </c>
      <c r="D103" t="s">
        <v>127</v>
      </c>
      <c r="E103" t="s">
        <v>232</v>
      </c>
      <c r="F103">
        <v>710940.94848000002</v>
      </c>
      <c r="G103">
        <v>610</v>
      </c>
      <c r="H103">
        <v>970</v>
      </c>
    </row>
    <row r="104" spans="1:8" x14ac:dyDescent="0.3">
      <c r="A104">
        <v>2024</v>
      </c>
      <c r="B104" t="s">
        <v>23</v>
      </c>
      <c r="C104" t="s">
        <v>8</v>
      </c>
      <c r="D104" t="s">
        <v>128</v>
      </c>
      <c r="E104" t="s">
        <v>232</v>
      </c>
      <c r="F104">
        <v>724792.70707200002</v>
      </c>
      <c r="G104">
        <v>610</v>
      </c>
      <c r="H104">
        <v>970</v>
      </c>
    </row>
    <row r="105" spans="1:8" x14ac:dyDescent="0.3">
      <c r="A105">
        <v>2024</v>
      </c>
      <c r="B105" t="s">
        <v>18</v>
      </c>
      <c r="C105" t="s">
        <v>8</v>
      </c>
      <c r="D105" t="s">
        <v>129</v>
      </c>
      <c r="E105" t="s">
        <v>229</v>
      </c>
      <c r="F105">
        <v>728743.9380480001</v>
      </c>
      <c r="G105">
        <v>930</v>
      </c>
      <c r="H105">
        <v>563</v>
      </c>
    </row>
    <row r="106" spans="1:8" x14ac:dyDescent="0.3">
      <c r="A106">
        <v>2024</v>
      </c>
      <c r="B106" t="s">
        <v>24</v>
      </c>
      <c r="C106" t="s">
        <v>8</v>
      </c>
      <c r="D106" t="s">
        <v>130</v>
      </c>
      <c r="E106" t="s">
        <v>229</v>
      </c>
      <c r="F106">
        <v>733256.42342399992</v>
      </c>
      <c r="G106">
        <v>839</v>
      </c>
      <c r="H106">
        <v>983</v>
      </c>
    </row>
    <row r="107" spans="1:8" x14ac:dyDescent="0.3">
      <c r="A107">
        <v>2024</v>
      </c>
      <c r="B107" t="s">
        <v>19</v>
      </c>
      <c r="C107" t="s">
        <v>8</v>
      </c>
      <c r="D107" t="s">
        <v>131</v>
      </c>
      <c r="E107" t="s">
        <v>231</v>
      </c>
      <c r="F107">
        <v>735205.37932800001</v>
      </c>
      <c r="G107">
        <v>839</v>
      </c>
      <c r="H107">
        <v>334</v>
      </c>
    </row>
    <row r="108" spans="1:8" x14ac:dyDescent="0.3">
      <c r="A108">
        <v>2024</v>
      </c>
      <c r="B108" t="s">
        <v>23</v>
      </c>
      <c r="C108" t="s">
        <v>8</v>
      </c>
      <c r="D108" t="s">
        <v>132</v>
      </c>
      <c r="E108" t="s">
        <v>234</v>
      </c>
      <c r="F108">
        <v>735487.40966400004</v>
      </c>
      <c r="G108">
        <v>93</v>
      </c>
      <c r="H108">
        <v>852</v>
      </c>
    </row>
    <row r="109" spans="1:8" x14ac:dyDescent="0.3">
      <c r="A109">
        <v>2024</v>
      </c>
      <c r="B109" t="s">
        <v>25</v>
      </c>
      <c r="C109" t="s">
        <v>8</v>
      </c>
      <c r="D109" t="s">
        <v>133</v>
      </c>
      <c r="E109" t="s">
        <v>229</v>
      </c>
      <c r="F109">
        <v>762994.48780799995</v>
      </c>
      <c r="G109">
        <v>839</v>
      </c>
      <c r="H109">
        <v>983</v>
      </c>
    </row>
    <row r="110" spans="1:8" x14ac:dyDescent="0.3">
      <c r="A110">
        <v>2024</v>
      </c>
      <c r="B110" t="s">
        <v>21</v>
      </c>
      <c r="C110" t="s">
        <v>8</v>
      </c>
      <c r="D110" t="s">
        <v>134</v>
      </c>
      <c r="E110" t="s">
        <v>230</v>
      </c>
      <c r="F110">
        <v>767403.14112000004</v>
      </c>
      <c r="G110">
        <v>312</v>
      </c>
      <c r="H110">
        <v>983</v>
      </c>
    </row>
    <row r="111" spans="1:8" x14ac:dyDescent="0.3">
      <c r="A111">
        <v>2024</v>
      </c>
      <c r="B111" t="s">
        <v>21</v>
      </c>
      <c r="C111" t="s">
        <v>8</v>
      </c>
      <c r="D111" t="s">
        <v>135</v>
      </c>
      <c r="E111" t="s">
        <v>232</v>
      </c>
      <c r="F111">
        <v>767403.14112000004</v>
      </c>
      <c r="G111">
        <v>568</v>
      </c>
      <c r="H111">
        <v>505</v>
      </c>
    </row>
    <row r="112" spans="1:8" x14ac:dyDescent="0.3">
      <c r="A112">
        <v>2024</v>
      </c>
      <c r="B112" t="s">
        <v>21</v>
      </c>
      <c r="C112" t="s">
        <v>8</v>
      </c>
      <c r="D112" t="s">
        <v>136</v>
      </c>
      <c r="E112" t="s">
        <v>232</v>
      </c>
      <c r="F112">
        <v>782829.21830399986</v>
      </c>
      <c r="G112">
        <v>968</v>
      </c>
      <c r="H112">
        <v>330</v>
      </c>
    </row>
    <row r="113" spans="1:8" x14ac:dyDescent="0.3">
      <c r="A113">
        <v>2024</v>
      </c>
      <c r="B113" t="s">
        <v>23</v>
      </c>
      <c r="C113" t="s">
        <v>8</v>
      </c>
      <c r="D113" t="s">
        <v>137</v>
      </c>
      <c r="E113" t="s">
        <v>236</v>
      </c>
      <c r="F113">
        <v>796526.63193599996</v>
      </c>
      <c r="G113">
        <v>968</v>
      </c>
      <c r="H113">
        <v>330</v>
      </c>
    </row>
    <row r="114" spans="1:8" x14ac:dyDescent="0.3">
      <c r="A114">
        <v>2024</v>
      </c>
      <c r="B114" t="s">
        <v>21</v>
      </c>
      <c r="C114" t="s">
        <v>8</v>
      </c>
      <c r="D114" t="s">
        <v>138</v>
      </c>
      <c r="E114" t="s">
        <v>231</v>
      </c>
      <c r="F114">
        <v>805070.32704000012</v>
      </c>
      <c r="G114">
        <v>839</v>
      </c>
      <c r="H114">
        <v>334</v>
      </c>
    </row>
    <row r="115" spans="1:8" x14ac:dyDescent="0.3">
      <c r="A115">
        <v>2024</v>
      </c>
      <c r="B115" t="s">
        <v>18</v>
      </c>
      <c r="C115" t="s">
        <v>8</v>
      </c>
      <c r="D115" t="s">
        <v>139</v>
      </c>
      <c r="E115" t="s">
        <v>235</v>
      </c>
      <c r="F115">
        <v>819316.36684800009</v>
      </c>
      <c r="G115">
        <v>839</v>
      </c>
      <c r="H115">
        <v>983</v>
      </c>
    </row>
    <row r="116" spans="1:8" x14ac:dyDescent="0.3">
      <c r="A116">
        <v>2024</v>
      </c>
      <c r="B116" t="s">
        <v>23</v>
      </c>
      <c r="C116" t="s">
        <v>8</v>
      </c>
      <c r="D116" t="s">
        <v>140</v>
      </c>
      <c r="E116" t="s">
        <v>235</v>
      </c>
      <c r="F116">
        <v>820704.06835199997</v>
      </c>
      <c r="G116">
        <v>168</v>
      </c>
      <c r="H116">
        <v>97</v>
      </c>
    </row>
    <row r="117" spans="1:8" x14ac:dyDescent="0.3">
      <c r="A117">
        <v>2024</v>
      </c>
      <c r="B117" t="s">
        <v>18</v>
      </c>
      <c r="C117" t="s">
        <v>8</v>
      </c>
      <c r="D117" t="s">
        <v>141</v>
      </c>
      <c r="E117" t="s">
        <v>229</v>
      </c>
      <c r="F117">
        <v>824959.77984000009</v>
      </c>
      <c r="G117">
        <v>795</v>
      </c>
      <c r="H117">
        <v>469</v>
      </c>
    </row>
    <row r="118" spans="1:8" x14ac:dyDescent="0.3">
      <c r="A118">
        <v>2024</v>
      </c>
      <c r="B118" t="s">
        <v>27</v>
      </c>
      <c r="C118" t="s">
        <v>8</v>
      </c>
      <c r="D118" t="s">
        <v>142</v>
      </c>
      <c r="E118" t="s">
        <v>232</v>
      </c>
      <c r="F118">
        <v>827336.692224</v>
      </c>
      <c r="G118">
        <v>312</v>
      </c>
      <c r="H118">
        <v>983</v>
      </c>
    </row>
    <row r="119" spans="1:8" x14ac:dyDescent="0.3">
      <c r="A119">
        <v>2024</v>
      </c>
      <c r="B119" t="s">
        <v>18</v>
      </c>
      <c r="C119" t="s">
        <v>8</v>
      </c>
      <c r="D119" t="s">
        <v>143</v>
      </c>
      <c r="E119" t="s">
        <v>232</v>
      </c>
      <c r="F119">
        <v>837290.53900800005</v>
      </c>
      <c r="G119">
        <v>403</v>
      </c>
      <c r="H119">
        <v>953</v>
      </c>
    </row>
    <row r="120" spans="1:8" x14ac:dyDescent="0.3">
      <c r="A120">
        <v>2024</v>
      </c>
      <c r="B120" t="s">
        <v>19</v>
      </c>
      <c r="C120" t="s">
        <v>8</v>
      </c>
      <c r="D120" t="s">
        <v>144</v>
      </c>
      <c r="E120" t="s">
        <v>228</v>
      </c>
      <c r="F120">
        <v>839567.828736</v>
      </c>
      <c r="G120">
        <v>784</v>
      </c>
      <c r="H120">
        <v>540</v>
      </c>
    </row>
    <row r="121" spans="1:8" x14ac:dyDescent="0.3">
      <c r="A121">
        <v>2024</v>
      </c>
      <c r="B121" t="s">
        <v>18</v>
      </c>
      <c r="C121" t="s">
        <v>8</v>
      </c>
      <c r="D121" t="s">
        <v>145</v>
      </c>
      <c r="E121" t="s">
        <v>229</v>
      </c>
      <c r="F121">
        <v>858720.635136</v>
      </c>
      <c r="G121">
        <v>968</v>
      </c>
      <c r="H121">
        <v>330</v>
      </c>
    </row>
    <row r="122" spans="1:8" x14ac:dyDescent="0.3">
      <c r="A122">
        <v>2024</v>
      </c>
      <c r="B122" t="s">
        <v>19</v>
      </c>
      <c r="C122" t="s">
        <v>8</v>
      </c>
      <c r="D122" t="s">
        <v>146</v>
      </c>
      <c r="E122" t="s">
        <v>230</v>
      </c>
      <c r="F122">
        <v>859627.06099200004</v>
      </c>
      <c r="G122">
        <v>568</v>
      </c>
      <c r="H122">
        <v>505</v>
      </c>
    </row>
    <row r="123" spans="1:8" x14ac:dyDescent="0.3">
      <c r="A123">
        <v>2024</v>
      </c>
      <c r="B123" t="s">
        <v>22</v>
      </c>
      <c r="C123" t="s">
        <v>8</v>
      </c>
      <c r="D123" t="s">
        <v>147</v>
      </c>
      <c r="E123" t="s">
        <v>229</v>
      </c>
      <c r="F123">
        <v>867574.42329599988</v>
      </c>
      <c r="G123">
        <v>413</v>
      </c>
      <c r="H123">
        <v>930</v>
      </c>
    </row>
    <row r="124" spans="1:8" x14ac:dyDescent="0.3">
      <c r="A124">
        <v>2024</v>
      </c>
      <c r="B124" t="s">
        <v>20</v>
      </c>
      <c r="C124" t="s">
        <v>8</v>
      </c>
      <c r="D124" t="s">
        <v>148</v>
      </c>
      <c r="E124" t="s">
        <v>236</v>
      </c>
      <c r="F124">
        <v>867574.42329599988</v>
      </c>
      <c r="G124">
        <v>930</v>
      </c>
      <c r="H124">
        <v>563</v>
      </c>
    </row>
    <row r="125" spans="1:8" x14ac:dyDescent="0.3">
      <c r="A125">
        <v>2024</v>
      </c>
      <c r="B125" t="s">
        <v>21</v>
      </c>
      <c r="C125" t="s">
        <v>8</v>
      </c>
      <c r="D125" t="s">
        <v>149</v>
      </c>
      <c r="E125" t="s">
        <v>235</v>
      </c>
      <c r="F125">
        <v>873313.24953599996</v>
      </c>
      <c r="G125">
        <v>839</v>
      </c>
      <c r="H125">
        <v>334</v>
      </c>
    </row>
    <row r="126" spans="1:8" x14ac:dyDescent="0.3">
      <c r="A126">
        <v>2024</v>
      </c>
      <c r="B126" t="s">
        <v>21</v>
      </c>
      <c r="C126" t="s">
        <v>8</v>
      </c>
      <c r="D126" t="s">
        <v>150</v>
      </c>
      <c r="E126" t="s">
        <v>230</v>
      </c>
      <c r="F126">
        <v>878259.30393599998</v>
      </c>
      <c r="G126">
        <v>403</v>
      </c>
      <c r="H126">
        <v>953</v>
      </c>
    </row>
    <row r="127" spans="1:8" x14ac:dyDescent="0.3">
      <c r="A127">
        <v>2024</v>
      </c>
      <c r="B127" t="s">
        <v>20</v>
      </c>
      <c r="C127" t="s">
        <v>8</v>
      </c>
      <c r="D127" t="s">
        <v>151</v>
      </c>
      <c r="E127" t="s">
        <v>236</v>
      </c>
      <c r="F127">
        <v>884691.27935999993</v>
      </c>
      <c r="G127">
        <v>210</v>
      </c>
      <c r="H127">
        <v>177</v>
      </c>
    </row>
    <row r="128" spans="1:8" x14ac:dyDescent="0.3">
      <c r="A128">
        <v>2024</v>
      </c>
      <c r="B128" t="s">
        <v>24</v>
      </c>
      <c r="C128" t="s">
        <v>8</v>
      </c>
      <c r="D128" t="s">
        <v>152</v>
      </c>
      <c r="E128" t="s">
        <v>229</v>
      </c>
      <c r="F128">
        <v>885927.44217599998</v>
      </c>
      <c r="G128">
        <v>839</v>
      </c>
      <c r="H128">
        <v>334</v>
      </c>
    </row>
    <row r="129" spans="1:8" x14ac:dyDescent="0.3">
      <c r="A129">
        <v>2024</v>
      </c>
      <c r="B129" t="s">
        <v>21</v>
      </c>
      <c r="C129" t="s">
        <v>8</v>
      </c>
      <c r="D129" t="s">
        <v>153</v>
      </c>
      <c r="E129" t="s">
        <v>236</v>
      </c>
      <c r="F129">
        <v>889628.91494400008</v>
      </c>
      <c r="G129">
        <v>839</v>
      </c>
      <c r="H129">
        <v>983</v>
      </c>
    </row>
    <row r="130" spans="1:8" x14ac:dyDescent="0.3">
      <c r="A130">
        <v>2024</v>
      </c>
      <c r="B130" t="s">
        <v>25</v>
      </c>
      <c r="C130" t="s">
        <v>8</v>
      </c>
      <c r="D130" t="s">
        <v>154</v>
      </c>
      <c r="E130" t="s">
        <v>233</v>
      </c>
      <c r="F130">
        <v>893206.91174400004</v>
      </c>
      <c r="G130">
        <v>872</v>
      </c>
      <c r="H130">
        <v>249</v>
      </c>
    </row>
    <row r="131" spans="1:8" x14ac:dyDescent="0.3">
      <c r="A131">
        <v>2024</v>
      </c>
      <c r="B131" t="s">
        <v>19</v>
      </c>
      <c r="C131" t="s">
        <v>8</v>
      </c>
      <c r="D131" t="s">
        <v>155</v>
      </c>
      <c r="E131" t="s">
        <v>229</v>
      </c>
      <c r="F131">
        <v>937711.57939199999</v>
      </c>
      <c r="G131">
        <v>312</v>
      </c>
      <c r="H131">
        <v>983</v>
      </c>
    </row>
    <row r="132" spans="1:8" x14ac:dyDescent="0.3">
      <c r="A132">
        <v>2024</v>
      </c>
      <c r="B132" t="s">
        <v>24</v>
      </c>
      <c r="C132" t="s">
        <v>8</v>
      </c>
      <c r="D132" t="s">
        <v>156</v>
      </c>
      <c r="E132" t="s">
        <v>230</v>
      </c>
      <c r="F132">
        <v>978998.85619199998</v>
      </c>
      <c r="G132">
        <v>168</v>
      </c>
      <c r="H132">
        <v>97</v>
      </c>
    </row>
    <row r="133" spans="1:8" x14ac:dyDescent="0.3">
      <c r="A133">
        <v>2024</v>
      </c>
      <c r="B133" t="s">
        <v>19</v>
      </c>
      <c r="C133" t="s">
        <v>8</v>
      </c>
      <c r="D133" t="s">
        <v>157</v>
      </c>
      <c r="E133" t="s">
        <v>232</v>
      </c>
      <c r="F133">
        <v>985161.42950399988</v>
      </c>
      <c r="G133">
        <v>413</v>
      </c>
      <c r="H133">
        <v>930</v>
      </c>
    </row>
    <row r="134" spans="1:8" x14ac:dyDescent="0.3">
      <c r="A134">
        <v>2024</v>
      </c>
      <c r="B134" t="s">
        <v>20</v>
      </c>
      <c r="C134" t="s">
        <v>8</v>
      </c>
      <c r="D134" t="s">
        <v>158</v>
      </c>
      <c r="E134" t="s">
        <v>234</v>
      </c>
      <c r="F134">
        <v>1004613.103872</v>
      </c>
      <c r="G134">
        <v>749</v>
      </c>
      <c r="H134">
        <v>648</v>
      </c>
    </row>
    <row r="135" spans="1:8" x14ac:dyDescent="0.3">
      <c r="A135">
        <v>2024</v>
      </c>
      <c r="B135" t="s">
        <v>21</v>
      </c>
      <c r="C135" t="s">
        <v>8</v>
      </c>
      <c r="D135" t="s">
        <v>159</v>
      </c>
      <c r="E135" t="s">
        <v>234</v>
      </c>
      <c r="F135">
        <v>1004613.103872</v>
      </c>
      <c r="G135">
        <v>784</v>
      </c>
      <c r="H135">
        <v>540</v>
      </c>
    </row>
    <row r="136" spans="1:8" x14ac:dyDescent="0.3">
      <c r="A136">
        <v>2024</v>
      </c>
      <c r="B136" t="s">
        <v>26</v>
      </c>
      <c r="C136" t="s">
        <v>8</v>
      </c>
      <c r="D136" t="s">
        <v>160</v>
      </c>
      <c r="E136" t="s">
        <v>233</v>
      </c>
      <c r="F136">
        <v>1020535.8912</v>
      </c>
      <c r="G136">
        <v>312</v>
      </c>
      <c r="H136">
        <v>983</v>
      </c>
    </row>
    <row r="137" spans="1:8" x14ac:dyDescent="0.3">
      <c r="A137">
        <v>2024</v>
      </c>
      <c r="B137" t="s">
        <v>23</v>
      </c>
      <c r="C137" t="s">
        <v>8</v>
      </c>
      <c r="D137" t="s">
        <v>130</v>
      </c>
      <c r="E137" t="s">
        <v>230</v>
      </c>
      <c r="F137">
        <v>1021491.4268159999</v>
      </c>
      <c r="G137">
        <v>795</v>
      </c>
      <c r="H137">
        <v>469</v>
      </c>
    </row>
    <row r="138" spans="1:8" x14ac:dyDescent="0.3">
      <c r="A138">
        <v>2024</v>
      </c>
      <c r="B138" t="s">
        <v>21</v>
      </c>
      <c r="C138" t="s">
        <v>8</v>
      </c>
      <c r="D138" t="s">
        <v>161</v>
      </c>
      <c r="E138" t="s">
        <v>235</v>
      </c>
      <c r="F138">
        <v>1021814.148096</v>
      </c>
      <c r="G138">
        <v>610</v>
      </c>
      <c r="H138">
        <v>970</v>
      </c>
    </row>
    <row r="139" spans="1:8" x14ac:dyDescent="0.3">
      <c r="A139">
        <v>2024</v>
      </c>
      <c r="B139" t="s">
        <v>27</v>
      </c>
      <c r="C139" t="s">
        <v>8</v>
      </c>
      <c r="D139" t="s">
        <v>162</v>
      </c>
      <c r="E139" t="s">
        <v>233</v>
      </c>
      <c r="F139">
        <v>1023350.5820159999</v>
      </c>
      <c r="G139">
        <v>839</v>
      </c>
      <c r="H139">
        <v>334</v>
      </c>
    </row>
    <row r="140" spans="1:8" x14ac:dyDescent="0.3">
      <c r="A140">
        <v>2024</v>
      </c>
      <c r="B140" t="s">
        <v>21</v>
      </c>
      <c r="C140" t="s">
        <v>8</v>
      </c>
      <c r="D140" t="s">
        <v>163</v>
      </c>
      <c r="E140" t="s">
        <v>234</v>
      </c>
      <c r="F140">
        <v>1026840.1812480001</v>
      </c>
      <c r="G140">
        <v>784</v>
      </c>
      <c r="H140">
        <v>540</v>
      </c>
    </row>
    <row r="141" spans="1:8" x14ac:dyDescent="0.3">
      <c r="A141">
        <v>2024</v>
      </c>
      <c r="B141" t="s">
        <v>23</v>
      </c>
      <c r="C141" t="s">
        <v>8</v>
      </c>
      <c r="D141" t="s">
        <v>164</v>
      </c>
      <c r="E141" t="s">
        <v>234</v>
      </c>
      <c r="F141">
        <v>1026840.1812480001</v>
      </c>
      <c r="G141">
        <v>597</v>
      </c>
      <c r="H141">
        <v>287</v>
      </c>
    </row>
    <row r="142" spans="1:8" x14ac:dyDescent="0.3">
      <c r="A142">
        <v>2024</v>
      </c>
      <c r="B142" t="s">
        <v>26</v>
      </c>
      <c r="C142" t="s">
        <v>8</v>
      </c>
      <c r="D142" t="s">
        <v>165</v>
      </c>
      <c r="E142" t="s">
        <v>229</v>
      </c>
      <c r="F142">
        <v>1037624.684544</v>
      </c>
      <c r="G142">
        <v>413</v>
      </c>
      <c r="H142">
        <v>930</v>
      </c>
    </row>
    <row r="143" spans="1:8" x14ac:dyDescent="0.3">
      <c r="A143">
        <v>2024</v>
      </c>
      <c r="B143" t="s">
        <v>26</v>
      </c>
      <c r="C143" t="s">
        <v>8</v>
      </c>
      <c r="D143" t="s">
        <v>166</v>
      </c>
      <c r="E143" t="s">
        <v>228</v>
      </c>
      <c r="F143">
        <v>1049283.3415680001</v>
      </c>
      <c r="G143">
        <v>93</v>
      </c>
      <c r="H143">
        <v>852</v>
      </c>
    </row>
    <row r="144" spans="1:8" x14ac:dyDescent="0.3">
      <c r="A144">
        <v>2024</v>
      </c>
      <c r="B144" t="s">
        <v>23</v>
      </c>
      <c r="C144" t="s">
        <v>8</v>
      </c>
      <c r="D144" t="s">
        <v>167</v>
      </c>
      <c r="E144" t="s">
        <v>229</v>
      </c>
      <c r="F144">
        <v>1079732.7959040001</v>
      </c>
      <c r="G144">
        <v>210</v>
      </c>
      <c r="H144">
        <v>177</v>
      </c>
    </row>
    <row r="145" spans="1:8" x14ac:dyDescent="0.3">
      <c r="A145">
        <v>2024</v>
      </c>
      <c r="B145" t="s">
        <v>19</v>
      </c>
      <c r="C145" t="s">
        <v>8</v>
      </c>
      <c r="D145" t="s">
        <v>168</v>
      </c>
      <c r="E145" t="s">
        <v>228</v>
      </c>
      <c r="F145">
        <v>1100353.28256</v>
      </c>
      <c r="G145">
        <v>930</v>
      </c>
      <c r="H145">
        <v>563</v>
      </c>
    </row>
    <row r="146" spans="1:8" x14ac:dyDescent="0.3">
      <c r="A146">
        <v>2024</v>
      </c>
      <c r="B146" t="s">
        <v>19</v>
      </c>
      <c r="C146" t="s">
        <v>8</v>
      </c>
      <c r="D146" t="s">
        <v>169</v>
      </c>
      <c r="E146" t="s">
        <v>232</v>
      </c>
      <c r="F146">
        <v>1106395.1861759999</v>
      </c>
      <c r="G146">
        <v>839</v>
      </c>
      <c r="H146">
        <v>983</v>
      </c>
    </row>
    <row r="147" spans="1:8" x14ac:dyDescent="0.3">
      <c r="A147">
        <v>2024</v>
      </c>
      <c r="B147" t="s">
        <v>19</v>
      </c>
      <c r="C147" t="s">
        <v>8</v>
      </c>
      <c r="D147" t="s">
        <v>170</v>
      </c>
      <c r="E147" t="s">
        <v>229</v>
      </c>
      <c r="F147">
        <v>1133839.1232</v>
      </c>
      <c r="G147">
        <v>413</v>
      </c>
      <c r="H147">
        <v>930</v>
      </c>
    </row>
    <row r="148" spans="1:8" x14ac:dyDescent="0.3">
      <c r="A148">
        <v>2024</v>
      </c>
      <c r="B148" t="s">
        <v>19</v>
      </c>
      <c r="C148" t="s">
        <v>8</v>
      </c>
      <c r="D148" t="s">
        <v>171</v>
      </c>
      <c r="E148" t="s">
        <v>228</v>
      </c>
      <c r="F148">
        <v>1136465.793792</v>
      </c>
      <c r="G148">
        <v>210</v>
      </c>
      <c r="H148">
        <v>177</v>
      </c>
    </row>
    <row r="149" spans="1:8" x14ac:dyDescent="0.3">
      <c r="A149">
        <v>2024</v>
      </c>
      <c r="B149" t="s">
        <v>19</v>
      </c>
      <c r="C149" t="s">
        <v>8</v>
      </c>
      <c r="D149" t="s">
        <v>172</v>
      </c>
      <c r="E149" t="s">
        <v>233</v>
      </c>
      <c r="F149">
        <v>1137164.5555199999</v>
      </c>
      <c r="G149">
        <v>312</v>
      </c>
      <c r="H149">
        <v>983</v>
      </c>
    </row>
    <row r="150" spans="1:8" x14ac:dyDescent="0.3">
      <c r="A150">
        <v>2024</v>
      </c>
      <c r="B150" t="s">
        <v>27</v>
      </c>
      <c r="C150" t="s">
        <v>8</v>
      </c>
      <c r="D150" t="s">
        <v>173</v>
      </c>
      <c r="E150" t="s">
        <v>236</v>
      </c>
      <c r="F150">
        <v>1137264.178176</v>
      </c>
      <c r="G150">
        <v>597</v>
      </c>
      <c r="H150">
        <v>287</v>
      </c>
    </row>
    <row r="151" spans="1:8" x14ac:dyDescent="0.3">
      <c r="A151">
        <v>2024</v>
      </c>
      <c r="B151" t="s">
        <v>22</v>
      </c>
      <c r="C151" t="s">
        <v>8</v>
      </c>
      <c r="D151" t="s">
        <v>33</v>
      </c>
      <c r="E151" t="s">
        <v>233</v>
      </c>
      <c r="F151">
        <v>1141402.02624</v>
      </c>
      <c r="G151">
        <v>692</v>
      </c>
      <c r="H151">
        <v>300</v>
      </c>
    </row>
    <row r="152" spans="1:8" x14ac:dyDescent="0.3">
      <c r="A152">
        <v>2024</v>
      </c>
      <c r="B152" t="s">
        <v>23</v>
      </c>
      <c r="C152" t="s">
        <v>8</v>
      </c>
      <c r="D152" t="s">
        <v>170</v>
      </c>
      <c r="E152" t="s">
        <v>233</v>
      </c>
      <c r="F152">
        <v>1159202.2095359999</v>
      </c>
      <c r="G152">
        <v>839</v>
      </c>
      <c r="H152">
        <v>983</v>
      </c>
    </row>
    <row r="153" spans="1:8" x14ac:dyDescent="0.3">
      <c r="A153">
        <v>2024</v>
      </c>
      <c r="B153" t="s">
        <v>20</v>
      </c>
      <c r="C153" t="s">
        <v>8</v>
      </c>
      <c r="D153" t="s">
        <v>82</v>
      </c>
      <c r="E153" t="s">
        <v>235</v>
      </c>
      <c r="F153">
        <v>1163697.8572799999</v>
      </c>
      <c r="G153">
        <v>577</v>
      </c>
      <c r="H153">
        <v>175</v>
      </c>
    </row>
    <row r="154" spans="1:8" x14ac:dyDescent="0.3">
      <c r="A154">
        <v>2024</v>
      </c>
      <c r="B154" t="s">
        <v>21</v>
      </c>
      <c r="C154" t="s">
        <v>8</v>
      </c>
      <c r="D154" t="s">
        <v>133</v>
      </c>
      <c r="E154" t="s">
        <v>231</v>
      </c>
      <c r="F154">
        <v>1172200.8614400001</v>
      </c>
      <c r="G154">
        <v>784</v>
      </c>
      <c r="H154">
        <v>540</v>
      </c>
    </row>
    <row r="155" spans="1:8" x14ac:dyDescent="0.3">
      <c r="A155">
        <v>2024</v>
      </c>
      <c r="B155" t="s">
        <v>24</v>
      </c>
      <c r="C155" t="s">
        <v>8</v>
      </c>
      <c r="D155" t="s">
        <v>159</v>
      </c>
      <c r="E155" t="s">
        <v>235</v>
      </c>
      <c r="F155">
        <v>1174103.513856</v>
      </c>
      <c r="G155">
        <v>839</v>
      </c>
      <c r="H155">
        <v>334</v>
      </c>
    </row>
    <row r="156" spans="1:8" x14ac:dyDescent="0.3">
      <c r="A156">
        <v>2024</v>
      </c>
      <c r="B156" t="s">
        <v>21</v>
      </c>
      <c r="C156" t="s">
        <v>8</v>
      </c>
      <c r="D156" t="s">
        <v>142</v>
      </c>
      <c r="E156" t="s">
        <v>229</v>
      </c>
      <c r="F156">
        <v>1178975.2020480002</v>
      </c>
      <c r="G156">
        <v>577</v>
      </c>
      <c r="H156">
        <v>175</v>
      </c>
    </row>
    <row r="157" spans="1:8" x14ac:dyDescent="0.3">
      <c r="A157">
        <v>2024</v>
      </c>
      <c r="B157" t="s">
        <v>25</v>
      </c>
      <c r="C157" t="s">
        <v>8</v>
      </c>
      <c r="D157" t="s">
        <v>174</v>
      </c>
      <c r="E157" t="s">
        <v>235</v>
      </c>
      <c r="F157">
        <v>1189320.5237759999</v>
      </c>
      <c r="G157">
        <v>287</v>
      </c>
      <c r="H157">
        <v>744</v>
      </c>
    </row>
    <row r="158" spans="1:8" x14ac:dyDescent="0.3">
      <c r="A158">
        <v>2024</v>
      </c>
      <c r="B158" t="s">
        <v>26</v>
      </c>
      <c r="C158" t="s">
        <v>8</v>
      </c>
      <c r="D158" t="s">
        <v>113</v>
      </c>
      <c r="E158" t="s">
        <v>236</v>
      </c>
      <c r="F158">
        <v>1192630.5216000001</v>
      </c>
      <c r="G158">
        <v>568</v>
      </c>
      <c r="H158">
        <v>505</v>
      </c>
    </row>
    <row r="159" spans="1:8" x14ac:dyDescent="0.3">
      <c r="A159">
        <v>2024</v>
      </c>
      <c r="B159" t="s">
        <v>23</v>
      </c>
      <c r="C159" t="s">
        <v>8</v>
      </c>
      <c r="D159" t="s">
        <v>175</v>
      </c>
      <c r="E159" t="s">
        <v>233</v>
      </c>
      <c r="F159">
        <v>1195874.5720319999</v>
      </c>
      <c r="G159">
        <v>168</v>
      </c>
      <c r="H159">
        <v>97</v>
      </c>
    </row>
    <row r="160" spans="1:8" x14ac:dyDescent="0.3">
      <c r="A160">
        <v>2024</v>
      </c>
      <c r="B160" t="s">
        <v>21</v>
      </c>
      <c r="C160" t="s">
        <v>8</v>
      </c>
      <c r="D160" t="s">
        <v>106</v>
      </c>
      <c r="E160" t="s">
        <v>230</v>
      </c>
      <c r="F160">
        <v>1208650.125312</v>
      </c>
      <c r="G160">
        <v>784</v>
      </c>
      <c r="H160">
        <v>540</v>
      </c>
    </row>
    <row r="161" spans="1:8" x14ac:dyDescent="0.3">
      <c r="A161">
        <v>2024</v>
      </c>
      <c r="B161" t="s">
        <v>23</v>
      </c>
      <c r="C161" t="s">
        <v>8</v>
      </c>
      <c r="D161" t="s">
        <v>174</v>
      </c>
      <c r="E161" t="s">
        <v>232</v>
      </c>
      <c r="F161">
        <v>1210429.3017599999</v>
      </c>
      <c r="G161">
        <v>968</v>
      </c>
      <c r="H161">
        <v>330</v>
      </c>
    </row>
    <row r="162" spans="1:8" x14ac:dyDescent="0.3">
      <c r="A162">
        <v>2024</v>
      </c>
      <c r="B162" t="s">
        <v>19</v>
      </c>
      <c r="C162" t="s">
        <v>8</v>
      </c>
      <c r="D162" t="s">
        <v>72</v>
      </c>
      <c r="E162" t="s">
        <v>230</v>
      </c>
      <c r="F162">
        <v>1218282.653952</v>
      </c>
      <c r="G162">
        <v>872</v>
      </c>
      <c r="H162">
        <v>249</v>
      </c>
    </row>
    <row r="163" spans="1:8" x14ac:dyDescent="0.3">
      <c r="A163">
        <v>2024</v>
      </c>
      <c r="B163" t="s">
        <v>22</v>
      </c>
      <c r="C163" t="s">
        <v>8</v>
      </c>
      <c r="D163" t="s">
        <v>176</v>
      </c>
      <c r="E163" t="s">
        <v>230</v>
      </c>
      <c r="F163">
        <v>1218693.7728000002</v>
      </c>
      <c r="G163">
        <v>795</v>
      </c>
      <c r="H163">
        <v>469</v>
      </c>
    </row>
    <row r="164" spans="1:8" x14ac:dyDescent="0.3">
      <c r="A164">
        <v>2024</v>
      </c>
      <c r="B164" t="s">
        <v>21</v>
      </c>
      <c r="C164" t="s">
        <v>8</v>
      </c>
      <c r="D164" t="s">
        <v>158</v>
      </c>
      <c r="E164" t="s">
        <v>234</v>
      </c>
      <c r="F164">
        <v>1218693.7728000002</v>
      </c>
      <c r="G164">
        <v>872</v>
      </c>
      <c r="H164">
        <v>249</v>
      </c>
    </row>
    <row r="165" spans="1:8" x14ac:dyDescent="0.3">
      <c r="A165">
        <v>2024</v>
      </c>
      <c r="B165" t="s">
        <v>23</v>
      </c>
      <c r="C165" t="s">
        <v>8</v>
      </c>
      <c r="D165" t="s">
        <v>138</v>
      </c>
      <c r="E165" t="s">
        <v>233</v>
      </c>
      <c r="F165">
        <v>1219204.514304</v>
      </c>
      <c r="G165">
        <v>610</v>
      </c>
      <c r="H165">
        <v>970</v>
      </c>
    </row>
    <row r="166" spans="1:8" x14ac:dyDescent="0.3">
      <c r="A166">
        <v>2024</v>
      </c>
      <c r="B166" t="s">
        <v>19</v>
      </c>
      <c r="C166" t="s">
        <v>8</v>
      </c>
      <c r="D166" t="s">
        <v>108</v>
      </c>
      <c r="E166" t="s">
        <v>236</v>
      </c>
      <c r="F166">
        <v>1229774.337792</v>
      </c>
      <c r="G166">
        <v>403</v>
      </c>
      <c r="H166">
        <v>953</v>
      </c>
    </row>
    <row r="167" spans="1:8" x14ac:dyDescent="0.3">
      <c r="A167">
        <v>2024</v>
      </c>
      <c r="B167" t="s">
        <v>25</v>
      </c>
      <c r="C167" t="s">
        <v>8</v>
      </c>
      <c r="D167" t="s">
        <v>177</v>
      </c>
      <c r="E167" t="s">
        <v>232</v>
      </c>
      <c r="F167">
        <v>1237760.9879040001</v>
      </c>
      <c r="G167">
        <v>968</v>
      </c>
      <c r="H167">
        <v>330</v>
      </c>
    </row>
    <row r="168" spans="1:8" x14ac:dyDescent="0.3">
      <c r="A168">
        <v>2024</v>
      </c>
      <c r="B168" t="s">
        <v>23</v>
      </c>
      <c r="C168" t="s">
        <v>8</v>
      </c>
      <c r="D168" t="s">
        <v>178</v>
      </c>
      <c r="E168" t="s">
        <v>229</v>
      </c>
      <c r="F168">
        <v>1254135.5850239999</v>
      </c>
      <c r="G168">
        <v>839</v>
      </c>
      <c r="H168">
        <v>983</v>
      </c>
    </row>
    <row r="169" spans="1:8" x14ac:dyDescent="0.3">
      <c r="A169">
        <v>2024</v>
      </c>
      <c r="B169" t="s">
        <v>19</v>
      </c>
      <c r="C169" t="s">
        <v>8</v>
      </c>
      <c r="D169" t="s">
        <v>99</v>
      </c>
      <c r="E169" t="s">
        <v>228</v>
      </c>
      <c r="F169">
        <v>1255155.6648959999</v>
      </c>
      <c r="G169">
        <v>168</v>
      </c>
      <c r="H169">
        <v>97</v>
      </c>
    </row>
    <row r="170" spans="1:8" x14ac:dyDescent="0.3">
      <c r="A170">
        <v>2024</v>
      </c>
      <c r="B170" t="s">
        <v>23</v>
      </c>
      <c r="C170" t="s">
        <v>8</v>
      </c>
      <c r="D170" t="s">
        <v>177</v>
      </c>
      <c r="E170" t="s">
        <v>236</v>
      </c>
      <c r="F170">
        <v>1277043.1833599999</v>
      </c>
      <c r="G170">
        <v>312</v>
      </c>
      <c r="H170">
        <v>983</v>
      </c>
    </row>
    <row r="171" spans="1:8" x14ac:dyDescent="0.3">
      <c r="A171">
        <v>2024</v>
      </c>
      <c r="B171" t="s">
        <v>23</v>
      </c>
      <c r="C171" t="s">
        <v>8</v>
      </c>
      <c r="D171" t="s">
        <v>177</v>
      </c>
      <c r="E171" t="s">
        <v>236</v>
      </c>
      <c r="F171">
        <v>1277043.1833599999</v>
      </c>
      <c r="G171">
        <v>312</v>
      </c>
      <c r="H171">
        <v>983</v>
      </c>
    </row>
    <row r="172" spans="1:8" x14ac:dyDescent="0.3">
      <c r="A172">
        <v>2024</v>
      </c>
      <c r="B172" t="s">
        <v>23</v>
      </c>
      <c r="C172" t="s">
        <v>8</v>
      </c>
      <c r="D172" t="s">
        <v>177</v>
      </c>
      <c r="E172" t="s">
        <v>236</v>
      </c>
      <c r="F172">
        <v>1277043.1833599999</v>
      </c>
      <c r="G172">
        <v>312</v>
      </c>
      <c r="H172">
        <v>983</v>
      </c>
    </row>
    <row r="173" spans="1:8" x14ac:dyDescent="0.3">
      <c r="A173">
        <v>2024</v>
      </c>
      <c r="B173" t="s">
        <v>23</v>
      </c>
      <c r="C173" t="s">
        <v>8</v>
      </c>
      <c r="D173" t="s">
        <v>177</v>
      </c>
      <c r="E173" t="s">
        <v>236</v>
      </c>
      <c r="F173">
        <v>1277043.1833599999</v>
      </c>
      <c r="G173">
        <v>312</v>
      </c>
      <c r="H173">
        <v>983</v>
      </c>
    </row>
    <row r="174" spans="1:8" x14ac:dyDescent="0.3">
      <c r="A174">
        <v>2024</v>
      </c>
      <c r="B174" t="s">
        <v>23</v>
      </c>
      <c r="C174" t="s">
        <v>8</v>
      </c>
      <c r="D174" t="s">
        <v>177</v>
      </c>
      <c r="E174" t="s">
        <v>236</v>
      </c>
      <c r="F174">
        <v>1277043.1833599999</v>
      </c>
      <c r="G174">
        <v>312</v>
      </c>
      <c r="H174">
        <v>983</v>
      </c>
    </row>
    <row r="175" spans="1:8" x14ac:dyDescent="0.3">
      <c r="A175">
        <v>2024</v>
      </c>
      <c r="B175" t="s">
        <v>21</v>
      </c>
      <c r="C175" t="s">
        <v>8</v>
      </c>
      <c r="D175" t="s">
        <v>51</v>
      </c>
      <c r="E175" t="s">
        <v>228</v>
      </c>
      <c r="F175">
        <v>1287305.720064</v>
      </c>
      <c r="G175">
        <v>403</v>
      </c>
      <c r="H175">
        <v>953</v>
      </c>
    </row>
    <row r="176" spans="1:8" x14ac:dyDescent="0.3">
      <c r="A176">
        <v>2024</v>
      </c>
      <c r="B176" t="s">
        <v>24</v>
      </c>
      <c r="C176" t="s">
        <v>8</v>
      </c>
      <c r="D176" t="s">
        <v>127</v>
      </c>
      <c r="E176" t="s">
        <v>236</v>
      </c>
      <c r="F176">
        <v>1290034.8195840002</v>
      </c>
      <c r="G176">
        <v>930</v>
      </c>
      <c r="H176">
        <v>563</v>
      </c>
    </row>
    <row r="177" spans="1:8" x14ac:dyDescent="0.3">
      <c r="A177">
        <v>2024</v>
      </c>
      <c r="B177" t="s">
        <v>21</v>
      </c>
      <c r="C177" t="s">
        <v>8</v>
      </c>
      <c r="D177" t="s">
        <v>124</v>
      </c>
      <c r="E177" t="s">
        <v>231</v>
      </c>
      <c r="F177">
        <v>1291950.1002239999</v>
      </c>
      <c r="G177">
        <v>568</v>
      </c>
      <c r="H177">
        <v>505</v>
      </c>
    </row>
    <row r="178" spans="1:8" x14ac:dyDescent="0.3">
      <c r="A178">
        <v>2024</v>
      </c>
      <c r="B178" t="s">
        <v>23</v>
      </c>
      <c r="C178" t="s">
        <v>8</v>
      </c>
      <c r="D178" t="s">
        <v>179</v>
      </c>
      <c r="E178" t="s">
        <v>233</v>
      </c>
      <c r="F178">
        <v>1293695.6014080001</v>
      </c>
      <c r="G178">
        <v>168</v>
      </c>
      <c r="H178">
        <v>97</v>
      </c>
    </row>
    <row r="179" spans="1:8" x14ac:dyDescent="0.3">
      <c r="A179">
        <v>2024</v>
      </c>
      <c r="B179" t="s">
        <v>21</v>
      </c>
      <c r="C179" t="s">
        <v>8</v>
      </c>
      <c r="D179" t="s">
        <v>178</v>
      </c>
      <c r="E179" t="s">
        <v>229</v>
      </c>
      <c r="F179">
        <v>1308476.236032</v>
      </c>
      <c r="G179">
        <v>568</v>
      </c>
      <c r="H179">
        <v>505</v>
      </c>
    </row>
    <row r="180" spans="1:8" x14ac:dyDescent="0.3">
      <c r="A180">
        <v>2024</v>
      </c>
      <c r="B180" t="s">
        <v>25</v>
      </c>
      <c r="C180" t="s">
        <v>8</v>
      </c>
      <c r="D180" t="s">
        <v>180</v>
      </c>
      <c r="E180" t="s">
        <v>231</v>
      </c>
      <c r="F180">
        <v>1322022.1109759999</v>
      </c>
      <c r="G180">
        <v>839</v>
      </c>
      <c r="H180">
        <v>983</v>
      </c>
    </row>
    <row r="181" spans="1:8" x14ac:dyDescent="0.3">
      <c r="A181">
        <v>2024</v>
      </c>
      <c r="B181" t="s">
        <v>20</v>
      </c>
      <c r="C181" t="s">
        <v>8</v>
      </c>
      <c r="D181" t="s">
        <v>173</v>
      </c>
      <c r="E181" t="s">
        <v>234</v>
      </c>
      <c r="F181">
        <v>1340766.6048000001</v>
      </c>
      <c r="G181">
        <v>597</v>
      </c>
      <c r="H181">
        <v>287</v>
      </c>
    </row>
    <row r="182" spans="1:8" x14ac:dyDescent="0.3">
      <c r="A182">
        <v>2024</v>
      </c>
      <c r="B182" t="s">
        <v>20</v>
      </c>
      <c r="C182" t="s">
        <v>8</v>
      </c>
      <c r="D182" t="s">
        <v>181</v>
      </c>
      <c r="E182" t="s">
        <v>234</v>
      </c>
      <c r="F182">
        <v>1368522.0380160001</v>
      </c>
      <c r="G182">
        <v>312</v>
      </c>
      <c r="H182">
        <v>983</v>
      </c>
    </row>
    <row r="183" spans="1:8" x14ac:dyDescent="0.3">
      <c r="A183">
        <v>2024</v>
      </c>
      <c r="B183" t="s">
        <v>18</v>
      </c>
      <c r="C183" t="s">
        <v>8</v>
      </c>
      <c r="D183" t="s">
        <v>182</v>
      </c>
      <c r="E183" t="s">
        <v>234</v>
      </c>
      <c r="F183">
        <v>1368948.59136</v>
      </c>
      <c r="G183">
        <v>577</v>
      </c>
      <c r="H183">
        <v>175</v>
      </c>
    </row>
    <row r="184" spans="1:8" x14ac:dyDescent="0.3">
      <c r="A184">
        <v>2024</v>
      </c>
      <c r="B184" t="s">
        <v>25</v>
      </c>
      <c r="C184" t="s">
        <v>8</v>
      </c>
      <c r="D184" t="s">
        <v>113</v>
      </c>
      <c r="E184" t="s">
        <v>230</v>
      </c>
      <c r="F184">
        <v>1380748.9651199998</v>
      </c>
      <c r="G184">
        <v>795</v>
      </c>
      <c r="H184">
        <v>469</v>
      </c>
    </row>
    <row r="185" spans="1:8" x14ac:dyDescent="0.3">
      <c r="A185">
        <v>2024</v>
      </c>
      <c r="B185" t="s">
        <v>27</v>
      </c>
      <c r="C185" t="s">
        <v>8</v>
      </c>
      <c r="D185" t="s">
        <v>91</v>
      </c>
      <c r="E185" t="s">
        <v>233</v>
      </c>
      <c r="F185">
        <v>1380748.9651199998</v>
      </c>
      <c r="G185">
        <v>168</v>
      </c>
      <c r="H185">
        <v>97</v>
      </c>
    </row>
    <row r="186" spans="1:8" x14ac:dyDescent="0.3">
      <c r="A186">
        <v>2024</v>
      </c>
      <c r="B186" t="s">
        <v>24</v>
      </c>
      <c r="C186" t="s">
        <v>8</v>
      </c>
      <c r="D186" t="s">
        <v>176</v>
      </c>
      <c r="E186" t="s">
        <v>233</v>
      </c>
      <c r="F186">
        <v>1380748.9651199998</v>
      </c>
      <c r="G186">
        <v>872</v>
      </c>
      <c r="H186">
        <v>249</v>
      </c>
    </row>
    <row r="187" spans="1:8" x14ac:dyDescent="0.3">
      <c r="A187">
        <v>2024</v>
      </c>
      <c r="B187" t="s">
        <v>27</v>
      </c>
      <c r="C187" t="s">
        <v>8</v>
      </c>
      <c r="D187" t="s">
        <v>51</v>
      </c>
      <c r="E187" t="s">
        <v>233</v>
      </c>
      <c r="F187">
        <v>1380748.9651199998</v>
      </c>
      <c r="G187">
        <v>210</v>
      </c>
      <c r="H187">
        <v>177</v>
      </c>
    </row>
    <row r="188" spans="1:8" x14ac:dyDescent="0.3">
      <c r="A188">
        <v>2024</v>
      </c>
      <c r="B188" t="s">
        <v>18</v>
      </c>
      <c r="C188" t="s">
        <v>8</v>
      </c>
      <c r="D188" t="s">
        <v>106</v>
      </c>
      <c r="E188" t="s">
        <v>234</v>
      </c>
      <c r="F188">
        <v>1380748.9651199998</v>
      </c>
      <c r="G188">
        <v>872</v>
      </c>
      <c r="H188">
        <v>249</v>
      </c>
    </row>
    <row r="189" spans="1:8" x14ac:dyDescent="0.3">
      <c r="A189">
        <v>2024</v>
      </c>
      <c r="B189" t="s">
        <v>25</v>
      </c>
      <c r="C189" t="s">
        <v>8</v>
      </c>
      <c r="D189" t="s">
        <v>159</v>
      </c>
      <c r="E189" t="s">
        <v>234</v>
      </c>
      <c r="F189">
        <v>1380748.9651199998</v>
      </c>
      <c r="G189">
        <v>568</v>
      </c>
      <c r="H189">
        <v>505</v>
      </c>
    </row>
    <row r="190" spans="1:8" x14ac:dyDescent="0.3">
      <c r="A190">
        <v>2024</v>
      </c>
      <c r="B190" t="s">
        <v>21</v>
      </c>
      <c r="C190" t="s">
        <v>8</v>
      </c>
      <c r="D190" t="s">
        <v>181</v>
      </c>
      <c r="E190" t="s">
        <v>234</v>
      </c>
      <c r="F190">
        <v>1380748.9651199998</v>
      </c>
      <c r="G190">
        <v>930</v>
      </c>
      <c r="H190">
        <v>563</v>
      </c>
    </row>
    <row r="191" spans="1:8" x14ac:dyDescent="0.3">
      <c r="A191">
        <v>2024</v>
      </c>
      <c r="B191" t="s">
        <v>22</v>
      </c>
      <c r="C191" t="s">
        <v>8</v>
      </c>
      <c r="D191" t="s">
        <v>182</v>
      </c>
      <c r="E191" t="s">
        <v>234</v>
      </c>
      <c r="F191">
        <v>1380748.9651199998</v>
      </c>
      <c r="G191">
        <v>872</v>
      </c>
      <c r="H191">
        <v>249</v>
      </c>
    </row>
    <row r="192" spans="1:8" x14ac:dyDescent="0.3">
      <c r="A192">
        <v>2024</v>
      </c>
      <c r="B192" t="s">
        <v>27</v>
      </c>
      <c r="C192" t="s">
        <v>8</v>
      </c>
      <c r="D192" t="s">
        <v>142</v>
      </c>
      <c r="E192" t="s">
        <v>232</v>
      </c>
      <c r="F192">
        <v>1380748.9651199998</v>
      </c>
      <c r="G192">
        <v>93</v>
      </c>
      <c r="H192">
        <v>852</v>
      </c>
    </row>
    <row r="193" spans="1:8" x14ac:dyDescent="0.3">
      <c r="A193">
        <v>2024</v>
      </c>
      <c r="B193" t="s">
        <v>25</v>
      </c>
      <c r="C193" t="s">
        <v>8</v>
      </c>
      <c r="D193" t="s">
        <v>134</v>
      </c>
      <c r="E193" t="s">
        <v>232</v>
      </c>
      <c r="F193">
        <v>1380748.9651199998</v>
      </c>
      <c r="G193">
        <v>93</v>
      </c>
      <c r="H193">
        <v>852</v>
      </c>
    </row>
    <row r="194" spans="1:8" x14ac:dyDescent="0.3">
      <c r="A194">
        <v>2024</v>
      </c>
      <c r="B194" t="s">
        <v>25</v>
      </c>
      <c r="C194" t="s">
        <v>8</v>
      </c>
      <c r="D194" t="s">
        <v>138</v>
      </c>
      <c r="E194" t="s">
        <v>232</v>
      </c>
      <c r="F194">
        <v>1380748.9651199998</v>
      </c>
      <c r="G194">
        <v>168</v>
      </c>
      <c r="H194">
        <v>97</v>
      </c>
    </row>
    <row r="195" spans="1:8" x14ac:dyDescent="0.3">
      <c r="A195">
        <v>2024</v>
      </c>
      <c r="B195" t="s">
        <v>21</v>
      </c>
      <c r="C195" t="s">
        <v>8</v>
      </c>
      <c r="D195" t="s">
        <v>108</v>
      </c>
      <c r="E195" t="s">
        <v>232</v>
      </c>
      <c r="F195">
        <v>1380748.9651199998</v>
      </c>
      <c r="G195">
        <v>403</v>
      </c>
      <c r="H195">
        <v>953</v>
      </c>
    </row>
    <row r="196" spans="1:8" x14ac:dyDescent="0.3">
      <c r="A196">
        <v>2024</v>
      </c>
      <c r="B196" t="s">
        <v>18</v>
      </c>
      <c r="C196" t="s">
        <v>8</v>
      </c>
      <c r="D196" t="s">
        <v>158</v>
      </c>
      <c r="E196" t="s">
        <v>229</v>
      </c>
      <c r="F196">
        <v>1380748.9651199998</v>
      </c>
      <c r="G196">
        <v>577</v>
      </c>
      <c r="H196">
        <v>175</v>
      </c>
    </row>
    <row r="197" spans="1:8" x14ac:dyDescent="0.3">
      <c r="A197">
        <v>2024</v>
      </c>
      <c r="B197" t="s">
        <v>19</v>
      </c>
      <c r="C197" t="s">
        <v>8</v>
      </c>
      <c r="D197" t="s">
        <v>174</v>
      </c>
      <c r="E197" t="s">
        <v>229</v>
      </c>
      <c r="F197">
        <v>1380748.9651199998</v>
      </c>
      <c r="G197">
        <v>610</v>
      </c>
      <c r="H197">
        <v>970</v>
      </c>
    </row>
    <row r="198" spans="1:8" x14ac:dyDescent="0.3">
      <c r="A198">
        <v>2024</v>
      </c>
      <c r="B198" t="s">
        <v>22</v>
      </c>
      <c r="C198" t="s">
        <v>8</v>
      </c>
      <c r="D198" t="s">
        <v>180</v>
      </c>
      <c r="E198" t="s">
        <v>229</v>
      </c>
      <c r="F198">
        <v>1380748.9651199998</v>
      </c>
      <c r="G198">
        <v>577</v>
      </c>
      <c r="H198">
        <v>175</v>
      </c>
    </row>
    <row r="199" spans="1:8" x14ac:dyDescent="0.3">
      <c r="A199">
        <v>2024</v>
      </c>
      <c r="B199" t="s">
        <v>25</v>
      </c>
      <c r="C199" t="s">
        <v>8</v>
      </c>
      <c r="D199" t="s">
        <v>99</v>
      </c>
      <c r="E199" t="s">
        <v>235</v>
      </c>
      <c r="F199">
        <v>1380748.9651199998</v>
      </c>
      <c r="G199">
        <v>210</v>
      </c>
      <c r="H199">
        <v>177</v>
      </c>
    </row>
    <row r="200" spans="1:8" x14ac:dyDescent="0.3">
      <c r="A200">
        <v>2024</v>
      </c>
      <c r="B200" t="s">
        <v>21</v>
      </c>
      <c r="C200" t="s">
        <v>8</v>
      </c>
      <c r="D200" t="s">
        <v>177</v>
      </c>
      <c r="E200" t="s">
        <v>231</v>
      </c>
      <c r="F200">
        <v>1380748.9651199998</v>
      </c>
      <c r="G200">
        <v>403</v>
      </c>
      <c r="H200">
        <v>953</v>
      </c>
    </row>
    <row r="201" spans="1:8" x14ac:dyDescent="0.3">
      <c r="A201">
        <v>2024</v>
      </c>
      <c r="B201" t="s">
        <v>27</v>
      </c>
      <c r="C201" t="s">
        <v>8</v>
      </c>
      <c r="D201" t="s">
        <v>127</v>
      </c>
      <c r="E201" t="s">
        <v>231</v>
      </c>
      <c r="F201">
        <v>1380748.9651199998</v>
      </c>
      <c r="G201">
        <v>610</v>
      </c>
      <c r="H201">
        <v>970</v>
      </c>
    </row>
    <row r="202" spans="1:8" x14ac:dyDescent="0.3">
      <c r="A202">
        <v>2024</v>
      </c>
      <c r="B202" t="s">
        <v>19</v>
      </c>
      <c r="C202" t="s">
        <v>8</v>
      </c>
      <c r="D202" t="s">
        <v>183</v>
      </c>
      <c r="E202" t="s">
        <v>231</v>
      </c>
      <c r="F202">
        <v>1380748.9651199998</v>
      </c>
      <c r="G202">
        <v>839</v>
      </c>
      <c r="H202">
        <v>334</v>
      </c>
    </row>
    <row r="203" spans="1:8" x14ac:dyDescent="0.3">
      <c r="A203">
        <v>2024</v>
      </c>
      <c r="B203" t="s">
        <v>21</v>
      </c>
      <c r="C203" t="s">
        <v>8</v>
      </c>
      <c r="D203" t="s">
        <v>72</v>
      </c>
      <c r="E203" t="s">
        <v>231</v>
      </c>
      <c r="F203">
        <v>1380748.9651199998</v>
      </c>
      <c r="G203">
        <v>839</v>
      </c>
      <c r="H203">
        <v>334</v>
      </c>
    </row>
    <row r="204" spans="1:8" x14ac:dyDescent="0.3">
      <c r="A204">
        <v>2024</v>
      </c>
      <c r="B204" t="s">
        <v>21</v>
      </c>
      <c r="C204" t="s">
        <v>8</v>
      </c>
      <c r="D204" t="s">
        <v>163</v>
      </c>
      <c r="E204" t="s">
        <v>236</v>
      </c>
      <c r="F204">
        <v>1380748.9651199998</v>
      </c>
      <c r="G204">
        <v>312</v>
      </c>
      <c r="H204">
        <v>983</v>
      </c>
    </row>
    <row r="205" spans="1:8" x14ac:dyDescent="0.3">
      <c r="A205">
        <v>2024</v>
      </c>
      <c r="B205" t="s">
        <v>20</v>
      </c>
      <c r="C205" t="s">
        <v>8</v>
      </c>
      <c r="D205" t="s">
        <v>124</v>
      </c>
      <c r="E205" t="s">
        <v>236</v>
      </c>
      <c r="F205">
        <v>1380748.9651199998</v>
      </c>
      <c r="G205">
        <v>577</v>
      </c>
      <c r="H205">
        <v>175</v>
      </c>
    </row>
    <row r="206" spans="1:8" x14ac:dyDescent="0.3">
      <c r="A206">
        <v>2024</v>
      </c>
      <c r="B206" t="s">
        <v>26</v>
      </c>
      <c r="C206" t="s">
        <v>8</v>
      </c>
      <c r="D206" t="s">
        <v>175</v>
      </c>
      <c r="E206" t="s">
        <v>230</v>
      </c>
      <c r="F206">
        <v>1390503.5665919997</v>
      </c>
      <c r="G206">
        <v>839</v>
      </c>
      <c r="H206">
        <v>334</v>
      </c>
    </row>
    <row r="207" spans="1:8" x14ac:dyDescent="0.3">
      <c r="A207">
        <v>2024</v>
      </c>
      <c r="B207" t="s">
        <v>21</v>
      </c>
      <c r="C207" t="s">
        <v>8</v>
      </c>
      <c r="D207" t="s">
        <v>179</v>
      </c>
      <c r="E207" t="s">
        <v>231</v>
      </c>
      <c r="F207">
        <v>1397005.6988159998</v>
      </c>
      <c r="G207">
        <v>930</v>
      </c>
      <c r="H207">
        <v>563</v>
      </c>
    </row>
    <row r="208" spans="1:8" x14ac:dyDescent="0.3">
      <c r="A208">
        <v>2023</v>
      </c>
      <c r="B208" t="s">
        <v>25</v>
      </c>
      <c r="C208" t="s">
        <v>8</v>
      </c>
      <c r="D208" t="s">
        <v>118</v>
      </c>
      <c r="E208" t="s">
        <v>232</v>
      </c>
      <c r="F208">
        <v>123625.60000000001</v>
      </c>
      <c r="G208">
        <v>312</v>
      </c>
      <c r="H208">
        <v>983</v>
      </c>
    </row>
    <row r="209" spans="1:8" x14ac:dyDescent="0.3">
      <c r="A209">
        <v>2023</v>
      </c>
      <c r="B209" t="s">
        <v>22</v>
      </c>
      <c r="C209" t="s">
        <v>8</v>
      </c>
      <c r="D209" t="s">
        <v>102</v>
      </c>
      <c r="E209" t="s">
        <v>230</v>
      </c>
      <c r="F209">
        <v>129596.32</v>
      </c>
      <c r="G209">
        <v>312</v>
      </c>
      <c r="H209">
        <v>983</v>
      </c>
    </row>
    <row r="210" spans="1:8" x14ac:dyDescent="0.3">
      <c r="A210">
        <v>2023</v>
      </c>
      <c r="B210" t="s">
        <v>19</v>
      </c>
      <c r="C210" t="s">
        <v>8</v>
      </c>
      <c r="D210" t="s">
        <v>184</v>
      </c>
      <c r="E210" t="s">
        <v>234</v>
      </c>
      <c r="F210">
        <v>143687.04000000001</v>
      </c>
      <c r="G210">
        <v>872</v>
      </c>
      <c r="H210">
        <v>249</v>
      </c>
    </row>
    <row r="211" spans="1:8" x14ac:dyDescent="0.3">
      <c r="A211">
        <v>2023</v>
      </c>
      <c r="B211" t="s">
        <v>22</v>
      </c>
      <c r="C211" t="s">
        <v>8</v>
      </c>
      <c r="D211" t="s">
        <v>185</v>
      </c>
      <c r="E211" t="s">
        <v>232</v>
      </c>
      <c r="F211">
        <v>145079.20000000001</v>
      </c>
      <c r="G211">
        <v>968</v>
      </c>
      <c r="H211">
        <v>330</v>
      </c>
    </row>
    <row r="212" spans="1:8" x14ac:dyDescent="0.3">
      <c r="A212">
        <v>2023</v>
      </c>
      <c r="B212" t="s">
        <v>19</v>
      </c>
      <c r="C212" t="s">
        <v>8</v>
      </c>
      <c r="D212" t="s">
        <v>186</v>
      </c>
      <c r="E212" t="s">
        <v>228</v>
      </c>
      <c r="F212">
        <v>148080.79999999999</v>
      </c>
      <c r="G212">
        <v>930</v>
      </c>
      <c r="H212">
        <v>563</v>
      </c>
    </row>
    <row r="213" spans="1:8" x14ac:dyDescent="0.3">
      <c r="A213">
        <v>2023</v>
      </c>
      <c r="B213" t="s">
        <v>19</v>
      </c>
      <c r="C213" t="s">
        <v>8</v>
      </c>
      <c r="D213" t="s">
        <v>187</v>
      </c>
      <c r="E213" t="s">
        <v>228</v>
      </c>
      <c r="F213">
        <v>148080.79999999999</v>
      </c>
      <c r="G213">
        <v>287</v>
      </c>
      <c r="H213">
        <v>744</v>
      </c>
    </row>
    <row r="214" spans="1:8" x14ac:dyDescent="0.3">
      <c r="A214">
        <v>2023</v>
      </c>
      <c r="B214" t="s">
        <v>24</v>
      </c>
      <c r="C214" t="s">
        <v>8</v>
      </c>
      <c r="D214" t="s">
        <v>71</v>
      </c>
      <c r="E214" t="s">
        <v>228</v>
      </c>
      <c r="F214">
        <v>148080.79999999999</v>
      </c>
      <c r="G214">
        <v>610</v>
      </c>
      <c r="H214">
        <v>970</v>
      </c>
    </row>
    <row r="215" spans="1:8" x14ac:dyDescent="0.3">
      <c r="A215">
        <v>2023</v>
      </c>
      <c r="B215" t="s">
        <v>25</v>
      </c>
      <c r="C215" t="s">
        <v>8</v>
      </c>
      <c r="D215" t="s">
        <v>100</v>
      </c>
      <c r="E215" t="s">
        <v>228</v>
      </c>
      <c r="F215">
        <v>148080.79999999999</v>
      </c>
      <c r="G215">
        <v>784</v>
      </c>
      <c r="H215">
        <v>540</v>
      </c>
    </row>
    <row r="216" spans="1:8" x14ac:dyDescent="0.3">
      <c r="A216">
        <v>2023</v>
      </c>
      <c r="B216" t="s">
        <v>20</v>
      </c>
      <c r="C216" t="s">
        <v>8</v>
      </c>
      <c r="D216" t="s">
        <v>43</v>
      </c>
      <c r="E216" t="s">
        <v>228</v>
      </c>
      <c r="F216">
        <v>148080.79999999999</v>
      </c>
      <c r="G216">
        <v>597</v>
      </c>
      <c r="H216">
        <v>287</v>
      </c>
    </row>
    <row r="217" spans="1:8" x14ac:dyDescent="0.3">
      <c r="A217">
        <v>2023</v>
      </c>
      <c r="B217" t="s">
        <v>22</v>
      </c>
      <c r="C217" t="s">
        <v>8</v>
      </c>
      <c r="D217" t="s">
        <v>94</v>
      </c>
      <c r="E217" t="s">
        <v>228</v>
      </c>
      <c r="F217">
        <v>148080.79999999999</v>
      </c>
      <c r="G217">
        <v>784</v>
      </c>
      <c r="H217">
        <v>540</v>
      </c>
    </row>
    <row r="218" spans="1:8" x14ac:dyDescent="0.3">
      <c r="A218">
        <v>2023</v>
      </c>
      <c r="B218" t="s">
        <v>25</v>
      </c>
      <c r="C218" t="s">
        <v>8</v>
      </c>
      <c r="D218" t="s">
        <v>110</v>
      </c>
      <c r="E218" t="s">
        <v>228</v>
      </c>
      <c r="F218">
        <v>148080.79999999999</v>
      </c>
      <c r="G218">
        <v>93</v>
      </c>
      <c r="H218">
        <v>852</v>
      </c>
    </row>
    <row r="219" spans="1:8" x14ac:dyDescent="0.3">
      <c r="A219">
        <v>2023</v>
      </c>
      <c r="B219" t="s">
        <v>24</v>
      </c>
      <c r="C219" t="s">
        <v>8</v>
      </c>
      <c r="D219" t="s">
        <v>160</v>
      </c>
      <c r="E219" t="s">
        <v>228</v>
      </c>
      <c r="F219">
        <v>148080.79999999999</v>
      </c>
      <c r="G219">
        <v>930</v>
      </c>
      <c r="H219">
        <v>563</v>
      </c>
    </row>
    <row r="220" spans="1:8" x14ac:dyDescent="0.3">
      <c r="A220">
        <v>2023</v>
      </c>
      <c r="B220" t="s">
        <v>19</v>
      </c>
      <c r="C220" t="s">
        <v>8</v>
      </c>
      <c r="D220" t="s">
        <v>42</v>
      </c>
      <c r="E220" t="s">
        <v>228</v>
      </c>
      <c r="F220">
        <v>148080.79999999999</v>
      </c>
      <c r="G220">
        <v>403</v>
      </c>
      <c r="H220">
        <v>953</v>
      </c>
    </row>
    <row r="221" spans="1:8" x14ac:dyDescent="0.3">
      <c r="A221">
        <v>2023</v>
      </c>
      <c r="B221" t="s">
        <v>24</v>
      </c>
      <c r="C221" t="s">
        <v>8</v>
      </c>
      <c r="D221" t="s">
        <v>188</v>
      </c>
      <c r="E221" t="s">
        <v>228</v>
      </c>
      <c r="F221">
        <v>148080.79999999999</v>
      </c>
      <c r="G221">
        <v>403</v>
      </c>
      <c r="H221">
        <v>953</v>
      </c>
    </row>
    <row r="222" spans="1:8" x14ac:dyDescent="0.3">
      <c r="A222">
        <v>2023</v>
      </c>
      <c r="B222" t="s">
        <v>23</v>
      </c>
      <c r="C222" t="s">
        <v>8</v>
      </c>
      <c r="D222" t="s">
        <v>76</v>
      </c>
      <c r="E222" t="s">
        <v>228</v>
      </c>
      <c r="F222">
        <v>148080.79999999999</v>
      </c>
      <c r="G222">
        <v>577</v>
      </c>
      <c r="H222">
        <v>175</v>
      </c>
    </row>
    <row r="223" spans="1:8" x14ac:dyDescent="0.3">
      <c r="A223">
        <v>2023</v>
      </c>
      <c r="B223" t="s">
        <v>20</v>
      </c>
      <c r="C223" t="s">
        <v>8</v>
      </c>
      <c r="D223" t="s">
        <v>159</v>
      </c>
      <c r="E223" t="s">
        <v>228</v>
      </c>
      <c r="F223">
        <v>148080.79999999999</v>
      </c>
      <c r="G223">
        <v>403</v>
      </c>
      <c r="H223">
        <v>953</v>
      </c>
    </row>
    <row r="224" spans="1:8" x14ac:dyDescent="0.3">
      <c r="A224">
        <v>2023</v>
      </c>
      <c r="B224" t="s">
        <v>20</v>
      </c>
      <c r="C224" t="s">
        <v>8</v>
      </c>
      <c r="D224" t="s">
        <v>72</v>
      </c>
      <c r="E224" t="s">
        <v>228</v>
      </c>
      <c r="F224">
        <v>148080.79999999999</v>
      </c>
      <c r="G224">
        <v>692</v>
      </c>
      <c r="H224">
        <v>300</v>
      </c>
    </row>
    <row r="225" spans="1:8" x14ac:dyDescent="0.3">
      <c r="A225">
        <v>2023</v>
      </c>
      <c r="B225" t="s">
        <v>20</v>
      </c>
      <c r="C225" t="s">
        <v>8</v>
      </c>
      <c r="D225" t="s">
        <v>49</v>
      </c>
      <c r="E225" t="s">
        <v>228</v>
      </c>
      <c r="F225">
        <v>148080.79999999999</v>
      </c>
      <c r="G225">
        <v>930</v>
      </c>
      <c r="H225">
        <v>563</v>
      </c>
    </row>
    <row r="226" spans="1:8" x14ac:dyDescent="0.3">
      <c r="A226">
        <v>2023</v>
      </c>
      <c r="B226" t="s">
        <v>20</v>
      </c>
      <c r="C226" t="s">
        <v>8</v>
      </c>
      <c r="D226" t="s">
        <v>52</v>
      </c>
      <c r="E226" t="s">
        <v>228</v>
      </c>
      <c r="F226">
        <v>148080.79999999999</v>
      </c>
      <c r="G226">
        <v>210</v>
      </c>
      <c r="H226">
        <v>177</v>
      </c>
    </row>
    <row r="227" spans="1:8" x14ac:dyDescent="0.3">
      <c r="A227">
        <v>2023</v>
      </c>
      <c r="B227" t="s">
        <v>19</v>
      </c>
      <c r="C227" t="s">
        <v>8</v>
      </c>
      <c r="D227" t="s">
        <v>189</v>
      </c>
      <c r="E227" t="s">
        <v>228</v>
      </c>
      <c r="F227">
        <v>148080.79999999999</v>
      </c>
      <c r="G227">
        <v>968</v>
      </c>
      <c r="H227">
        <v>330</v>
      </c>
    </row>
    <row r="228" spans="1:8" x14ac:dyDescent="0.3">
      <c r="A228">
        <v>2023</v>
      </c>
      <c r="B228" t="s">
        <v>19</v>
      </c>
      <c r="C228" t="s">
        <v>8</v>
      </c>
      <c r="D228" t="s">
        <v>162</v>
      </c>
      <c r="E228" t="s">
        <v>228</v>
      </c>
      <c r="F228">
        <v>148080.79999999999</v>
      </c>
      <c r="G228">
        <v>403</v>
      </c>
      <c r="H228">
        <v>953</v>
      </c>
    </row>
    <row r="229" spans="1:8" x14ac:dyDescent="0.3">
      <c r="A229">
        <v>2023</v>
      </c>
      <c r="B229" t="s">
        <v>22</v>
      </c>
      <c r="C229" t="s">
        <v>8</v>
      </c>
      <c r="D229" t="s">
        <v>172</v>
      </c>
      <c r="E229" t="s">
        <v>228</v>
      </c>
      <c r="F229">
        <v>148080.79999999999</v>
      </c>
      <c r="G229">
        <v>93</v>
      </c>
      <c r="H229">
        <v>852</v>
      </c>
    </row>
    <row r="230" spans="1:8" x14ac:dyDescent="0.3">
      <c r="A230">
        <v>2023</v>
      </c>
      <c r="B230" t="s">
        <v>23</v>
      </c>
      <c r="C230" t="s">
        <v>8</v>
      </c>
      <c r="D230" t="s">
        <v>28</v>
      </c>
      <c r="E230" t="s">
        <v>228</v>
      </c>
      <c r="F230">
        <v>148080.79999999999</v>
      </c>
      <c r="G230">
        <v>577</v>
      </c>
      <c r="H230">
        <v>175</v>
      </c>
    </row>
    <row r="231" spans="1:8" x14ac:dyDescent="0.3">
      <c r="A231">
        <v>2023</v>
      </c>
      <c r="B231" t="s">
        <v>23</v>
      </c>
      <c r="C231" t="s">
        <v>8</v>
      </c>
      <c r="D231" t="s">
        <v>89</v>
      </c>
      <c r="E231" t="s">
        <v>228</v>
      </c>
      <c r="F231">
        <v>148080.79999999999</v>
      </c>
      <c r="G231">
        <v>403</v>
      </c>
      <c r="H231">
        <v>953</v>
      </c>
    </row>
    <row r="232" spans="1:8" x14ac:dyDescent="0.3">
      <c r="A232">
        <v>2023</v>
      </c>
      <c r="B232" t="s">
        <v>21</v>
      </c>
      <c r="C232" t="s">
        <v>8</v>
      </c>
      <c r="D232" t="s">
        <v>38</v>
      </c>
      <c r="E232" t="s">
        <v>234</v>
      </c>
      <c r="F232">
        <v>151026.4</v>
      </c>
      <c r="G232">
        <v>839</v>
      </c>
      <c r="H232">
        <v>334</v>
      </c>
    </row>
    <row r="233" spans="1:8" x14ac:dyDescent="0.3">
      <c r="A233">
        <v>2023</v>
      </c>
      <c r="B233" t="s">
        <v>18</v>
      </c>
      <c r="C233" t="s">
        <v>8</v>
      </c>
      <c r="D233" t="s">
        <v>190</v>
      </c>
      <c r="E233" t="s">
        <v>233</v>
      </c>
      <c r="F233">
        <v>155182.00320000001</v>
      </c>
      <c r="G233">
        <v>312</v>
      </c>
      <c r="H233">
        <v>983</v>
      </c>
    </row>
    <row r="234" spans="1:8" x14ac:dyDescent="0.3">
      <c r="A234">
        <v>2023</v>
      </c>
      <c r="B234" t="s">
        <v>26</v>
      </c>
      <c r="C234" t="s">
        <v>8</v>
      </c>
      <c r="D234" t="s">
        <v>103</v>
      </c>
      <c r="E234" t="s">
        <v>236</v>
      </c>
      <c r="F234">
        <v>166970.72</v>
      </c>
      <c r="G234">
        <v>784</v>
      </c>
      <c r="H234">
        <v>540</v>
      </c>
    </row>
    <row r="235" spans="1:8" x14ac:dyDescent="0.3">
      <c r="A235">
        <v>2023</v>
      </c>
      <c r="B235" t="s">
        <v>19</v>
      </c>
      <c r="C235" t="s">
        <v>8</v>
      </c>
      <c r="D235" t="s">
        <v>148</v>
      </c>
      <c r="E235" t="s">
        <v>234</v>
      </c>
      <c r="F235">
        <v>167547.51999999999</v>
      </c>
      <c r="G235">
        <v>403</v>
      </c>
      <c r="H235">
        <v>953</v>
      </c>
    </row>
    <row r="236" spans="1:8" x14ac:dyDescent="0.3">
      <c r="A236">
        <v>2023</v>
      </c>
      <c r="B236" t="s">
        <v>18</v>
      </c>
      <c r="C236" t="s">
        <v>8</v>
      </c>
      <c r="D236" t="s">
        <v>68</v>
      </c>
      <c r="E236" t="s">
        <v>229</v>
      </c>
      <c r="F236">
        <v>170051.84</v>
      </c>
      <c r="G236">
        <v>210</v>
      </c>
      <c r="H236">
        <v>177</v>
      </c>
    </row>
    <row r="237" spans="1:8" x14ac:dyDescent="0.3">
      <c r="A237">
        <v>2023</v>
      </c>
      <c r="B237" t="s">
        <v>25</v>
      </c>
      <c r="C237" t="s">
        <v>8</v>
      </c>
      <c r="D237" t="s">
        <v>108</v>
      </c>
      <c r="E237" t="s">
        <v>235</v>
      </c>
      <c r="F237">
        <v>170291.52</v>
      </c>
      <c r="G237">
        <v>839</v>
      </c>
      <c r="H237">
        <v>983</v>
      </c>
    </row>
    <row r="238" spans="1:8" x14ac:dyDescent="0.3">
      <c r="A238">
        <v>2023</v>
      </c>
      <c r="B238" t="s">
        <v>20</v>
      </c>
      <c r="C238" t="s">
        <v>8</v>
      </c>
      <c r="D238" t="s">
        <v>40</v>
      </c>
      <c r="E238" t="s">
        <v>230</v>
      </c>
      <c r="F238">
        <v>180951.3216</v>
      </c>
      <c r="G238">
        <v>795</v>
      </c>
      <c r="H238">
        <v>469</v>
      </c>
    </row>
    <row r="239" spans="1:8" x14ac:dyDescent="0.3">
      <c r="A239">
        <v>2023</v>
      </c>
      <c r="B239" t="s">
        <v>23</v>
      </c>
      <c r="C239" t="s">
        <v>8</v>
      </c>
      <c r="D239" t="s">
        <v>151</v>
      </c>
      <c r="E239" t="s">
        <v>233</v>
      </c>
      <c r="F239">
        <v>185506.72</v>
      </c>
      <c r="G239">
        <v>930</v>
      </c>
      <c r="H239">
        <v>563</v>
      </c>
    </row>
    <row r="240" spans="1:8" x14ac:dyDescent="0.3">
      <c r="A240">
        <v>2023</v>
      </c>
      <c r="B240" t="s">
        <v>24</v>
      </c>
      <c r="C240" t="s">
        <v>8</v>
      </c>
      <c r="D240" t="s">
        <v>191</v>
      </c>
      <c r="E240" t="s">
        <v>233</v>
      </c>
      <c r="F240">
        <v>185514.56</v>
      </c>
      <c r="G240">
        <v>413</v>
      </c>
      <c r="H240">
        <v>930</v>
      </c>
    </row>
    <row r="241" spans="1:8" x14ac:dyDescent="0.3">
      <c r="A241">
        <v>2023</v>
      </c>
      <c r="B241" t="s">
        <v>24</v>
      </c>
      <c r="C241" t="s">
        <v>8</v>
      </c>
      <c r="D241" t="s">
        <v>166</v>
      </c>
      <c r="E241" t="s">
        <v>233</v>
      </c>
      <c r="F241">
        <v>186455.36</v>
      </c>
      <c r="G241">
        <v>168</v>
      </c>
      <c r="H241">
        <v>97</v>
      </c>
    </row>
    <row r="242" spans="1:8" x14ac:dyDescent="0.3">
      <c r="A242">
        <v>2023</v>
      </c>
      <c r="B242" t="s">
        <v>19</v>
      </c>
      <c r="C242" t="s">
        <v>8</v>
      </c>
      <c r="D242" t="s">
        <v>87</v>
      </c>
      <c r="E242" t="s">
        <v>230</v>
      </c>
      <c r="F242">
        <v>198951.2</v>
      </c>
      <c r="G242">
        <v>930</v>
      </c>
      <c r="H242">
        <v>563</v>
      </c>
    </row>
    <row r="243" spans="1:8" x14ac:dyDescent="0.3">
      <c r="A243">
        <v>2023</v>
      </c>
      <c r="B243" t="s">
        <v>24</v>
      </c>
      <c r="C243" t="s">
        <v>8</v>
      </c>
      <c r="D243" t="s">
        <v>29</v>
      </c>
      <c r="E243" t="s">
        <v>233</v>
      </c>
      <c r="F243">
        <v>199691.51999999999</v>
      </c>
      <c r="G243">
        <v>692</v>
      </c>
      <c r="H243">
        <v>300</v>
      </c>
    </row>
    <row r="244" spans="1:8" x14ac:dyDescent="0.3">
      <c r="A244">
        <v>2023</v>
      </c>
      <c r="B244" t="s">
        <v>27</v>
      </c>
      <c r="C244" t="s">
        <v>8</v>
      </c>
      <c r="D244" t="s">
        <v>44</v>
      </c>
      <c r="E244" t="s">
        <v>231</v>
      </c>
      <c r="F244">
        <v>200347.25760000001</v>
      </c>
      <c r="G244">
        <v>692</v>
      </c>
      <c r="H244">
        <v>300</v>
      </c>
    </row>
    <row r="245" spans="1:8" x14ac:dyDescent="0.3">
      <c r="A245">
        <v>2023</v>
      </c>
      <c r="B245" t="s">
        <v>20</v>
      </c>
      <c r="C245" t="s">
        <v>8</v>
      </c>
      <c r="D245" t="s">
        <v>45</v>
      </c>
      <c r="E245" t="s">
        <v>235</v>
      </c>
      <c r="F245">
        <v>200355.7248</v>
      </c>
      <c r="G245">
        <v>287</v>
      </c>
      <c r="H245">
        <v>744</v>
      </c>
    </row>
    <row r="246" spans="1:8" x14ac:dyDescent="0.3">
      <c r="A246">
        <v>2023</v>
      </c>
      <c r="B246" t="s">
        <v>20</v>
      </c>
      <c r="C246" t="s">
        <v>8</v>
      </c>
      <c r="D246" t="s">
        <v>98</v>
      </c>
      <c r="E246" t="s">
        <v>235</v>
      </c>
      <c r="F246">
        <v>204794.23999999999</v>
      </c>
      <c r="G246">
        <v>210</v>
      </c>
      <c r="H246">
        <v>177</v>
      </c>
    </row>
    <row r="247" spans="1:8" x14ac:dyDescent="0.3">
      <c r="A247">
        <v>2023</v>
      </c>
      <c r="B247" t="s">
        <v>25</v>
      </c>
      <c r="C247" t="s">
        <v>8</v>
      </c>
      <c r="D247" t="s">
        <v>161</v>
      </c>
      <c r="E247" t="s">
        <v>235</v>
      </c>
      <c r="F247">
        <v>206253.6</v>
      </c>
      <c r="G247">
        <v>839</v>
      </c>
      <c r="H247">
        <v>334</v>
      </c>
    </row>
    <row r="248" spans="1:8" x14ac:dyDescent="0.3">
      <c r="A248">
        <v>2023</v>
      </c>
      <c r="B248" t="s">
        <v>18</v>
      </c>
      <c r="C248" t="s">
        <v>8</v>
      </c>
      <c r="D248" t="s">
        <v>97</v>
      </c>
      <c r="E248" t="s">
        <v>231</v>
      </c>
      <c r="F248">
        <v>209059.20000000001</v>
      </c>
      <c r="G248">
        <v>568</v>
      </c>
      <c r="H248">
        <v>505</v>
      </c>
    </row>
    <row r="249" spans="1:8" x14ac:dyDescent="0.3">
      <c r="A249">
        <v>2023</v>
      </c>
      <c r="B249" t="s">
        <v>20</v>
      </c>
      <c r="C249" t="s">
        <v>8</v>
      </c>
      <c r="D249" t="s">
        <v>47</v>
      </c>
      <c r="E249" t="s">
        <v>235</v>
      </c>
      <c r="F249">
        <v>214867.296</v>
      </c>
      <c r="G249">
        <v>287</v>
      </c>
      <c r="H249">
        <v>744</v>
      </c>
    </row>
    <row r="250" spans="1:8" x14ac:dyDescent="0.3">
      <c r="A250">
        <v>2023</v>
      </c>
      <c r="B250" t="s">
        <v>24</v>
      </c>
      <c r="C250" t="s">
        <v>8</v>
      </c>
      <c r="D250" t="s">
        <v>35</v>
      </c>
      <c r="E250" t="s">
        <v>232</v>
      </c>
      <c r="F250">
        <v>219683.52</v>
      </c>
      <c r="G250">
        <v>610</v>
      </c>
      <c r="H250">
        <v>970</v>
      </c>
    </row>
    <row r="251" spans="1:8" x14ac:dyDescent="0.3">
      <c r="A251">
        <v>2023</v>
      </c>
      <c r="B251" t="s">
        <v>26</v>
      </c>
      <c r="C251" t="s">
        <v>8</v>
      </c>
      <c r="D251" t="s">
        <v>50</v>
      </c>
      <c r="E251" t="s">
        <v>229</v>
      </c>
      <c r="F251">
        <v>222753.88800000001</v>
      </c>
      <c r="G251">
        <v>577</v>
      </c>
      <c r="H251">
        <v>175</v>
      </c>
    </row>
    <row r="252" spans="1:8" x14ac:dyDescent="0.3">
      <c r="A252">
        <v>2023</v>
      </c>
      <c r="B252" t="s">
        <v>22</v>
      </c>
      <c r="C252" t="s">
        <v>8</v>
      </c>
      <c r="D252" t="s">
        <v>136</v>
      </c>
      <c r="E252" t="s">
        <v>231</v>
      </c>
      <c r="F252">
        <v>225676.64</v>
      </c>
      <c r="G252">
        <v>795</v>
      </c>
      <c r="H252">
        <v>469</v>
      </c>
    </row>
    <row r="253" spans="1:8" x14ac:dyDescent="0.3">
      <c r="A253">
        <v>2023</v>
      </c>
      <c r="B253" t="s">
        <v>18</v>
      </c>
      <c r="C253" t="s">
        <v>8</v>
      </c>
      <c r="D253" t="s">
        <v>192</v>
      </c>
      <c r="E253" t="s">
        <v>230</v>
      </c>
      <c r="F253">
        <v>225783.93600000002</v>
      </c>
      <c r="G253">
        <v>749</v>
      </c>
      <c r="H253">
        <v>648</v>
      </c>
    </row>
    <row r="254" spans="1:8" x14ac:dyDescent="0.3">
      <c r="A254">
        <v>2023</v>
      </c>
      <c r="B254" t="s">
        <v>24</v>
      </c>
      <c r="C254" t="s">
        <v>8</v>
      </c>
      <c r="D254" t="s">
        <v>158</v>
      </c>
      <c r="E254" t="s">
        <v>232</v>
      </c>
      <c r="F254">
        <v>230400.8</v>
      </c>
      <c r="G254">
        <v>287</v>
      </c>
      <c r="H254">
        <v>744</v>
      </c>
    </row>
    <row r="255" spans="1:8" x14ac:dyDescent="0.3">
      <c r="A255">
        <v>2023</v>
      </c>
      <c r="B255" t="s">
        <v>25</v>
      </c>
      <c r="C255" t="s">
        <v>8</v>
      </c>
      <c r="D255" t="s">
        <v>77</v>
      </c>
      <c r="E255" t="s">
        <v>234</v>
      </c>
      <c r="F255">
        <v>234766.56</v>
      </c>
      <c r="G255">
        <v>968</v>
      </c>
      <c r="H255">
        <v>330</v>
      </c>
    </row>
    <row r="256" spans="1:8" x14ac:dyDescent="0.3">
      <c r="A256">
        <v>2023</v>
      </c>
      <c r="B256" t="s">
        <v>25</v>
      </c>
      <c r="C256" t="s">
        <v>8</v>
      </c>
      <c r="D256" t="s">
        <v>55</v>
      </c>
      <c r="E256" t="s">
        <v>231</v>
      </c>
      <c r="F256">
        <v>237258.2016</v>
      </c>
      <c r="G256">
        <v>784</v>
      </c>
      <c r="H256">
        <v>540</v>
      </c>
    </row>
    <row r="257" spans="1:8" x14ac:dyDescent="0.3">
      <c r="A257">
        <v>2023</v>
      </c>
      <c r="B257" t="s">
        <v>25</v>
      </c>
      <c r="C257" t="s">
        <v>8</v>
      </c>
      <c r="D257" t="s">
        <v>126</v>
      </c>
      <c r="E257" t="s">
        <v>231</v>
      </c>
      <c r="F257">
        <v>238955.36</v>
      </c>
      <c r="G257">
        <v>968</v>
      </c>
      <c r="H257">
        <v>330</v>
      </c>
    </row>
    <row r="258" spans="1:8" x14ac:dyDescent="0.3">
      <c r="A258">
        <v>2023</v>
      </c>
      <c r="B258" t="s">
        <v>25</v>
      </c>
      <c r="C258" t="s">
        <v>8</v>
      </c>
      <c r="D258" t="s">
        <v>30</v>
      </c>
      <c r="E258" t="s">
        <v>229</v>
      </c>
      <c r="F258">
        <v>244617.408</v>
      </c>
      <c r="G258">
        <v>413</v>
      </c>
      <c r="H258">
        <v>930</v>
      </c>
    </row>
    <row r="259" spans="1:8" x14ac:dyDescent="0.3">
      <c r="A259">
        <v>2023</v>
      </c>
      <c r="B259" t="s">
        <v>27</v>
      </c>
      <c r="C259" t="s">
        <v>8</v>
      </c>
      <c r="D259" t="s">
        <v>48</v>
      </c>
      <c r="E259" t="s">
        <v>233</v>
      </c>
      <c r="F259">
        <v>250257.28</v>
      </c>
      <c r="G259">
        <v>168</v>
      </c>
      <c r="H259">
        <v>97</v>
      </c>
    </row>
    <row r="260" spans="1:8" x14ac:dyDescent="0.3">
      <c r="A260">
        <v>2023</v>
      </c>
      <c r="B260" t="s">
        <v>18</v>
      </c>
      <c r="C260" t="s">
        <v>8</v>
      </c>
      <c r="D260" t="s">
        <v>58</v>
      </c>
      <c r="E260" t="s">
        <v>232</v>
      </c>
      <c r="F260">
        <v>253547.8848</v>
      </c>
      <c r="G260">
        <v>403</v>
      </c>
      <c r="H260">
        <v>953</v>
      </c>
    </row>
    <row r="261" spans="1:8" x14ac:dyDescent="0.3">
      <c r="A261">
        <v>2023</v>
      </c>
      <c r="B261" t="s">
        <v>24</v>
      </c>
      <c r="C261" t="s">
        <v>8</v>
      </c>
      <c r="D261" t="s">
        <v>174</v>
      </c>
      <c r="E261" t="s">
        <v>230</v>
      </c>
      <c r="F261">
        <v>255250.24</v>
      </c>
      <c r="G261">
        <v>610</v>
      </c>
      <c r="H261">
        <v>970</v>
      </c>
    </row>
    <row r="262" spans="1:8" x14ac:dyDescent="0.3">
      <c r="A262">
        <v>2023</v>
      </c>
      <c r="B262" t="s">
        <v>18</v>
      </c>
      <c r="C262" t="s">
        <v>8</v>
      </c>
      <c r="D262" t="s">
        <v>59</v>
      </c>
      <c r="E262" t="s">
        <v>231</v>
      </c>
      <c r="F262">
        <v>258071.78879999998</v>
      </c>
      <c r="G262">
        <v>287</v>
      </c>
      <c r="H262">
        <v>744</v>
      </c>
    </row>
    <row r="263" spans="1:8" x14ac:dyDescent="0.3">
      <c r="A263">
        <v>2023</v>
      </c>
      <c r="B263" t="s">
        <v>24</v>
      </c>
      <c r="C263" t="s">
        <v>8</v>
      </c>
      <c r="D263" t="s">
        <v>135</v>
      </c>
      <c r="E263" t="s">
        <v>232</v>
      </c>
      <c r="F263">
        <v>263220.15999999997</v>
      </c>
      <c r="G263">
        <v>287</v>
      </c>
      <c r="H263">
        <v>744</v>
      </c>
    </row>
    <row r="264" spans="1:8" x14ac:dyDescent="0.3">
      <c r="A264">
        <v>2023</v>
      </c>
      <c r="B264" t="s">
        <v>22</v>
      </c>
      <c r="C264" t="s">
        <v>8</v>
      </c>
      <c r="D264" t="s">
        <v>61</v>
      </c>
      <c r="E264" t="s">
        <v>234</v>
      </c>
      <c r="F264">
        <v>270277.86239999998</v>
      </c>
      <c r="G264">
        <v>784</v>
      </c>
      <c r="H264">
        <v>540</v>
      </c>
    </row>
    <row r="265" spans="1:8" x14ac:dyDescent="0.3">
      <c r="A265">
        <v>2023</v>
      </c>
      <c r="B265" t="s">
        <v>20</v>
      </c>
      <c r="C265" t="s">
        <v>8</v>
      </c>
      <c r="D265" t="s">
        <v>93</v>
      </c>
      <c r="E265" t="s">
        <v>234</v>
      </c>
      <c r="F265">
        <v>275480.8</v>
      </c>
      <c r="G265">
        <v>597</v>
      </c>
      <c r="H265">
        <v>287</v>
      </c>
    </row>
    <row r="266" spans="1:8" x14ac:dyDescent="0.3">
      <c r="A266">
        <v>2023</v>
      </c>
      <c r="B266" t="s">
        <v>27</v>
      </c>
      <c r="C266" t="s">
        <v>8</v>
      </c>
      <c r="D266" t="s">
        <v>62</v>
      </c>
      <c r="E266" t="s">
        <v>232</v>
      </c>
      <c r="F266">
        <v>275670.25919999997</v>
      </c>
      <c r="G266">
        <v>749</v>
      </c>
      <c r="H266">
        <v>648</v>
      </c>
    </row>
    <row r="267" spans="1:8" x14ac:dyDescent="0.3">
      <c r="A267">
        <v>2023</v>
      </c>
      <c r="B267" t="s">
        <v>18</v>
      </c>
      <c r="C267" t="s">
        <v>8</v>
      </c>
      <c r="D267" t="s">
        <v>63</v>
      </c>
      <c r="E267" t="s">
        <v>229</v>
      </c>
      <c r="F267">
        <v>284277.77279999998</v>
      </c>
      <c r="G267">
        <v>839</v>
      </c>
      <c r="H267">
        <v>983</v>
      </c>
    </row>
    <row r="268" spans="1:8" x14ac:dyDescent="0.3">
      <c r="A268">
        <v>2023</v>
      </c>
      <c r="B268" t="s">
        <v>22</v>
      </c>
      <c r="C268" t="s">
        <v>8</v>
      </c>
      <c r="D268" t="s">
        <v>147</v>
      </c>
      <c r="E268" t="s">
        <v>234</v>
      </c>
      <c r="F268">
        <v>306653.76</v>
      </c>
      <c r="G268">
        <v>968</v>
      </c>
      <c r="H268">
        <v>330</v>
      </c>
    </row>
    <row r="269" spans="1:8" x14ac:dyDescent="0.3">
      <c r="A269">
        <v>2023</v>
      </c>
      <c r="B269" t="s">
        <v>18</v>
      </c>
      <c r="C269" t="s">
        <v>8</v>
      </c>
      <c r="D269" t="s">
        <v>134</v>
      </c>
      <c r="E269" t="s">
        <v>232</v>
      </c>
      <c r="F269">
        <v>306653.76</v>
      </c>
      <c r="G269">
        <v>93</v>
      </c>
      <c r="H269">
        <v>852</v>
      </c>
    </row>
    <row r="270" spans="1:8" x14ac:dyDescent="0.3">
      <c r="A270">
        <v>2023</v>
      </c>
      <c r="B270" t="s">
        <v>27</v>
      </c>
      <c r="C270" t="s">
        <v>8</v>
      </c>
      <c r="D270" t="s">
        <v>70</v>
      </c>
      <c r="E270" t="s">
        <v>231</v>
      </c>
      <c r="F270">
        <v>318852.9792</v>
      </c>
      <c r="G270">
        <v>692</v>
      </c>
      <c r="H270">
        <v>300</v>
      </c>
    </row>
    <row r="271" spans="1:8" x14ac:dyDescent="0.3">
      <c r="A271">
        <v>2023</v>
      </c>
      <c r="B271" t="s">
        <v>23</v>
      </c>
      <c r="C271" t="s">
        <v>8</v>
      </c>
      <c r="D271" t="s">
        <v>193</v>
      </c>
      <c r="E271" t="s">
        <v>232</v>
      </c>
      <c r="F271">
        <v>331186.06080000004</v>
      </c>
      <c r="G271">
        <v>312</v>
      </c>
      <c r="H271">
        <v>983</v>
      </c>
    </row>
    <row r="272" spans="1:8" x14ac:dyDescent="0.3">
      <c r="A272">
        <v>2023</v>
      </c>
      <c r="B272" t="s">
        <v>19</v>
      </c>
      <c r="C272" t="s">
        <v>8</v>
      </c>
      <c r="D272" t="s">
        <v>73</v>
      </c>
      <c r="E272" t="s">
        <v>231</v>
      </c>
      <c r="F272">
        <v>331186.06080000004</v>
      </c>
      <c r="G272">
        <v>93</v>
      </c>
      <c r="H272">
        <v>852</v>
      </c>
    </row>
    <row r="273" spans="1:8" x14ac:dyDescent="0.3">
      <c r="A273">
        <v>2023</v>
      </c>
      <c r="B273" t="s">
        <v>25</v>
      </c>
      <c r="C273" t="s">
        <v>8</v>
      </c>
      <c r="D273" t="s">
        <v>78</v>
      </c>
      <c r="E273" t="s">
        <v>232</v>
      </c>
      <c r="F273">
        <v>340865.28000000003</v>
      </c>
      <c r="G273">
        <v>968</v>
      </c>
      <c r="H273">
        <v>330</v>
      </c>
    </row>
    <row r="274" spans="1:8" x14ac:dyDescent="0.3">
      <c r="A274">
        <v>2023</v>
      </c>
      <c r="B274" t="s">
        <v>26</v>
      </c>
      <c r="C274" t="s">
        <v>8</v>
      </c>
      <c r="D274" t="s">
        <v>85</v>
      </c>
      <c r="E274" t="s">
        <v>233</v>
      </c>
      <c r="F274">
        <v>343524.16</v>
      </c>
      <c r="G274">
        <v>749</v>
      </c>
      <c r="H274">
        <v>648</v>
      </c>
    </row>
    <row r="275" spans="1:8" x14ac:dyDescent="0.3">
      <c r="A275">
        <v>2023</v>
      </c>
      <c r="B275" t="s">
        <v>24</v>
      </c>
      <c r="C275" t="s">
        <v>8</v>
      </c>
      <c r="D275" t="s">
        <v>91</v>
      </c>
      <c r="E275" t="s">
        <v>234</v>
      </c>
      <c r="F275">
        <v>352427.04</v>
      </c>
      <c r="G275">
        <v>413</v>
      </c>
      <c r="H275">
        <v>930</v>
      </c>
    </row>
    <row r="276" spans="1:8" x14ac:dyDescent="0.3">
      <c r="A276">
        <v>2023</v>
      </c>
      <c r="B276" t="s">
        <v>24</v>
      </c>
      <c r="C276" t="s">
        <v>8</v>
      </c>
      <c r="D276" t="s">
        <v>171</v>
      </c>
      <c r="E276" t="s">
        <v>236</v>
      </c>
      <c r="F276">
        <v>356908.16</v>
      </c>
      <c r="G276">
        <v>930</v>
      </c>
      <c r="H276">
        <v>563</v>
      </c>
    </row>
    <row r="277" spans="1:8" x14ac:dyDescent="0.3">
      <c r="A277">
        <v>2023</v>
      </c>
      <c r="B277" t="s">
        <v>19</v>
      </c>
      <c r="C277" t="s">
        <v>8</v>
      </c>
      <c r="D277" t="s">
        <v>86</v>
      </c>
      <c r="E277" t="s">
        <v>234</v>
      </c>
      <c r="F277">
        <v>367728.48</v>
      </c>
      <c r="G277">
        <v>168</v>
      </c>
      <c r="H277">
        <v>97</v>
      </c>
    </row>
    <row r="278" spans="1:8" x14ac:dyDescent="0.3">
      <c r="A278">
        <v>2023</v>
      </c>
      <c r="B278" t="s">
        <v>25</v>
      </c>
      <c r="C278" t="s">
        <v>8</v>
      </c>
      <c r="D278" t="s">
        <v>75</v>
      </c>
      <c r="E278" t="s">
        <v>230</v>
      </c>
      <c r="F278">
        <v>368134.50240000006</v>
      </c>
      <c r="G278">
        <v>93</v>
      </c>
      <c r="H278">
        <v>852</v>
      </c>
    </row>
    <row r="279" spans="1:8" x14ac:dyDescent="0.3">
      <c r="A279">
        <v>2023</v>
      </c>
      <c r="B279" t="s">
        <v>25</v>
      </c>
      <c r="C279" t="s">
        <v>8</v>
      </c>
      <c r="D279" t="s">
        <v>79</v>
      </c>
      <c r="E279" t="s">
        <v>234</v>
      </c>
      <c r="F279">
        <v>396397.12</v>
      </c>
      <c r="G279">
        <v>839</v>
      </c>
      <c r="H279">
        <v>334</v>
      </c>
    </row>
    <row r="280" spans="1:8" x14ac:dyDescent="0.3">
      <c r="A280">
        <v>2023</v>
      </c>
      <c r="B280" t="s">
        <v>25</v>
      </c>
      <c r="C280" t="s">
        <v>8</v>
      </c>
      <c r="D280" t="s">
        <v>69</v>
      </c>
      <c r="E280" t="s">
        <v>231</v>
      </c>
      <c r="F280">
        <v>396397.12</v>
      </c>
      <c r="G280">
        <v>968</v>
      </c>
      <c r="H280">
        <v>330</v>
      </c>
    </row>
    <row r="281" spans="1:8" x14ac:dyDescent="0.3">
      <c r="A281">
        <v>2023</v>
      </c>
      <c r="B281" t="s">
        <v>22</v>
      </c>
      <c r="C281" t="s">
        <v>8</v>
      </c>
      <c r="D281" t="s">
        <v>104</v>
      </c>
      <c r="E281" t="s">
        <v>228</v>
      </c>
      <c r="F281">
        <v>396397.12</v>
      </c>
      <c r="G281">
        <v>210</v>
      </c>
      <c r="H281">
        <v>177</v>
      </c>
    </row>
    <row r="282" spans="1:8" x14ac:dyDescent="0.3">
      <c r="A282">
        <v>2023</v>
      </c>
      <c r="B282" t="s">
        <v>25</v>
      </c>
      <c r="C282" t="s">
        <v>8</v>
      </c>
      <c r="D282" t="s">
        <v>109</v>
      </c>
      <c r="E282" t="s">
        <v>228</v>
      </c>
      <c r="F282">
        <v>405587.83999999997</v>
      </c>
      <c r="G282">
        <v>839</v>
      </c>
      <c r="H282">
        <v>334</v>
      </c>
    </row>
    <row r="283" spans="1:8" x14ac:dyDescent="0.3">
      <c r="A283">
        <v>2023</v>
      </c>
      <c r="B283" t="s">
        <v>22</v>
      </c>
      <c r="C283" t="s">
        <v>8</v>
      </c>
      <c r="D283" t="s">
        <v>84</v>
      </c>
      <c r="E283" t="s">
        <v>234</v>
      </c>
      <c r="F283">
        <v>419813.45279999997</v>
      </c>
      <c r="G283">
        <v>784</v>
      </c>
      <c r="H283">
        <v>540</v>
      </c>
    </row>
    <row r="284" spans="1:8" x14ac:dyDescent="0.3">
      <c r="A284">
        <v>2023</v>
      </c>
      <c r="B284" t="s">
        <v>22</v>
      </c>
      <c r="C284" t="s">
        <v>8</v>
      </c>
      <c r="D284" t="s">
        <v>176</v>
      </c>
      <c r="E284" t="s">
        <v>230</v>
      </c>
      <c r="F284">
        <v>421710.24</v>
      </c>
      <c r="G284">
        <v>312</v>
      </c>
      <c r="H284">
        <v>983</v>
      </c>
    </row>
    <row r="285" spans="1:8" x14ac:dyDescent="0.3">
      <c r="A285">
        <v>2023</v>
      </c>
      <c r="B285" t="s">
        <v>23</v>
      </c>
      <c r="C285" t="s">
        <v>8</v>
      </c>
      <c r="D285" t="s">
        <v>194</v>
      </c>
      <c r="E285" t="s">
        <v>231</v>
      </c>
      <c r="F285">
        <v>428108.88959999999</v>
      </c>
      <c r="G285">
        <v>784</v>
      </c>
      <c r="H285">
        <v>540</v>
      </c>
    </row>
    <row r="286" spans="1:8" x14ac:dyDescent="0.3">
      <c r="A286">
        <v>2023</v>
      </c>
      <c r="B286" t="s">
        <v>19</v>
      </c>
      <c r="C286" t="s">
        <v>8</v>
      </c>
      <c r="D286" t="s">
        <v>138</v>
      </c>
      <c r="E286" t="s">
        <v>234</v>
      </c>
      <c r="F286">
        <v>439391.68</v>
      </c>
      <c r="G286">
        <v>872</v>
      </c>
      <c r="H286">
        <v>249</v>
      </c>
    </row>
    <row r="287" spans="1:8" x14ac:dyDescent="0.3">
      <c r="A287">
        <v>2023</v>
      </c>
      <c r="B287" t="s">
        <v>25</v>
      </c>
      <c r="C287" t="s">
        <v>8</v>
      </c>
      <c r="D287" t="s">
        <v>106</v>
      </c>
      <c r="E287" t="s">
        <v>230</v>
      </c>
      <c r="F287">
        <v>443828</v>
      </c>
      <c r="G287">
        <v>413</v>
      </c>
      <c r="H287">
        <v>930</v>
      </c>
    </row>
    <row r="288" spans="1:8" x14ac:dyDescent="0.3">
      <c r="A288">
        <v>2023</v>
      </c>
      <c r="B288" t="s">
        <v>24</v>
      </c>
      <c r="C288" t="s">
        <v>8</v>
      </c>
      <c r="D288" t="s">
        <v>195</v>
      </c>
      <c r="E288" t="s">
        <v>230</v>
      </c>
      <c r="F288">
        <v>455447.05920000002</v>
      </c>
      <c r="G288">
        <v>795</v>
      </c>
      <c r="H288">
        <v>469</v>
      </c>
    </row>
    <row r="289" spans="1:8" x14ac:dyDescent="0.3">
      <c r="A289">
        <v>2023</v>
      </c>
      <c r="B289" t="s">
        <v>19</v>
      </c>
      <c r="C289" t="s">
        <v>8</v>
      </c>
      <c r="D289" t="s">
        <v>155</v>
      </c>
      <c r="E289" t="s">
        <v>233</v>
      </c>
      <c r="F289">
        <v>457304.96</v>
      </c>
      <c r="G289">
        <v>930</v>
      </c>
      <c r="H289">
        <v>563</v>
      </c>
    </row>
    <row r="290" spans="1:8" x14ac:dyDescent="0.3">
      <c r="A290">
        <v>2023</v>
      </c>
      <c r="B290" t="s">
        <v>27</v>
      </c>
      <c r="C290" t="s">
        <v>8</v>
      </c>
      <c r="D290" t="s">
        <v>129</v>
      </c>
      <c r="E290" t="s">
        <v>232</v>
      </c>
      <c r="F290">
        <v>461137.6</v>
      </c>
      <c r="G290">
        <v>403</v>
      </c>
      <c r="H290">
        <v>953</v>
      </c>
    </row>
    <row r="291" spans="1:8" x14ac:dyDescent="0.3">
      <c r="A291">
        <v>2023</v>
      </c>
      <c r="B291" t="s">
        <v>21</v>
      </c>
      <c r="C291" t="s">
        <v>8</v>
      </c>
      <c r="D291" t="s">
        <v>66</v>
      </c>
      <c r="E291" t="s">
        <v>234</v>
      </c>
      <c r="F291">
        <v>462946.4</v>
      </c>
      <c r="G291">
        <v>597</v>
      </c>
      <c r="H291">
        <v>287</v>
      </c>
    </row>
    <row r="292" spans="1:8" x14ac:dyDescent="0.3">
      <c r="A292">
        <v>2023</v>
      </c>
      <c r="B292" t="s">
        <v>23</v>
      </c>
      <c r="C292" t="s">
        <v>8</v>
      </c>
      <c r="D292" t="s">
        <v>196</v>
      </c>
      <c r="E292" t="s">
        <v>229</v>
      </c>
      <c r="F292">
        <v>466324.32</v>
      </c>
      <c r="G292">
        <v>597</v>
      </c>
      <c r="H292">
        <v>287</v>
      </c>
    </row>
    <row r="293" spans="1:8" x14ac:dyDescent="0.3">
      <c r="A293">
        <v>2023</v>
      </c>
      <c r="B293" t="s">
        <v>25</v>
      </c>
      <c r="C293" t="s">
        <v>8</v>
      </c>
      <c r="D293" t="s">
        <v>95</v>
      </c>
      <c r="E293" t="s">
        <v>236</v>
      </c>
      <c r="F293">
        <v>479334.24</v>
      </c>
      <c r="G293">
        <v>568</v>
      </c>
      <c r="H293">
        <v>505</v>
      </c>
    </row>
    <row r="294" spans="1:8" x14ac:dyDescent="0.3">
      <c r="A294">
        <v>2023</v>
      </c>
      <c r="B294" t="s">
        <v>24</v>
      </c>
      <c r="C294" t="s">
        <v>8</v>
      </c>
      <c r="D294" t="s">
        <v>197</v>
      </c>
      <c r="E294" t="s">
        <v>230</v>
      </c>
      <c r="F294">
        <v>480165.28</v>
      </c>
      <c r="G294">
        <v>568</v>
      </c>
      <c r="H294">
        <v>505</v>
      </c>
    </row>
    <row r="295" spans="1:8" x14ac:dyDescent="0.3">
      <c r="A295">
        <v>2023</v>
      </c>
      <c r="B295" t="s">
        <v>27</v>
      </c>
      <c r="C295" t="s">
        <v>8</v>
      </c>
      <c r="D295" t="s">
        <v>127</v>
      </c>
      <c r="E295" t="s">
        <v>233</v>
      </c>
      <c r="F295">
        <v>482446.72</v>
      </c>
      <c r="G295">
        <v>168</v>
      </c>
      <c r="H295">
        <v>97</v>
      </c>
    </row>
    <row r="296" spans="1:8" x14ac:dyDescent="0.3">
      <c r="A296">
        <v>2023</v>
      </c>
      <c r="B296" t="s">
        <v>25</v>
      </c>
      <c r="C296" t="s">
        <v>8</v>
      </c>
      <c r="D296" t="s">
        <v>53</v>
      </c>
      <c r="E296" t="s">
        <v>232</v>
      </c>
      <c r="F296">
        <v>482446.72</v>
      </c>
      <c r="G296">
        <v>839</v>
      </c>
      <c r="H296">
        <v>983</v>
      </c>
    </row>
    <row r="297" spans="1:8" x14ac:dyDescent="0.3">
      <c r="A297">
        <v>2023</v>
      </c>
      <c r="B297" t="s">
        <v>25</v>
      </c>
      <c r="C297" t="s">
        <v>8</v>
      </c>
      <c r="D297" t="s">
        <v>123</v>
      </c>
      <c r="E297" t="s">
        <v>231</v>
      </c>
      <c r="F297">
        <v>483679.83999999997</v>
      </c>
      <c r="G297">
        <v>839</v>
      </c>
      <c r="H297">
        <v>334</v>
      </c>
    </row>
    <row r="298" spans="1:8" x14ac:dyDescent="0.3">
      <c r="A298">
        <v>2023</v>
      </c>
      <c r="B298" t="s">
        <v>23</v>
      </c>
      <c r="C298" t="s">
        <v>8</v>
      </c>
      <c r="D298" t="s">
        <v>198</v>
      </c>
      <c r="E298" t="s">
        <v>231</v>
      </c>
      <c r="F298">
        <v>491219.68</v>
      </c>
      <c r="G298">
        <v>784</v>
      </c>
      <c r="H298">
        <v>540</v>
      </c>
    </row>
    <row r="299" spans="1:8" x14ac:dyDescent="0.3">
      <c r="A299">
        <v>2023</v>
      </c>
      <c r="B299" t="s">
        <v>22</v>
      </c>
      <c r="C299" t="s">
        <v>8</v>
      </c>
      <c r="D299" t="s">
        <v>33</v>
      </c>
      <c r="E299" t="s">
        <v>234</v>
      </c>
      <c r="F299">
        <v>511374.08000000002</v>
      </c>
      <c r="G299">
        <v>784</v>
      </c>
      <c r="H299">
        <v>540</v>
      </c>
    </row>
    <row r="300" spans="1:8" x14ac:dyDescent="0.3">
      <c r="A300">
        <v>2023</v>
      </c>
      <c r="B300" t="s">
        <v>27</v>
      </c>
      <c r="C300" t="s">
        <v>8</v>
      </c>
      <c r="D300" t="s">
        <v>125</v>
      </c>
      <c r="E300" t="s">
        <v>232</v>
      </c>
      <c r="F300">
        <v>513714.88</v>
      </c>
      <c r="G300">
        <v>872</v>
      </c>
      <c r="H300">
        <v>249</v>
      </c>
    </row>
    <row r="301" spans="1:8" x14ac:dyDescent="0.3">
      <c r="A301">
        <v>2023</v>
      </c>
      <c r="B301" t="s">
        <v>19</v>
      </c>
      <c r="C301" t="s">
        <v>8</v>
      </c>
      <c r="D301" t="s">
        <v>199</v>
      </c>
      <c r="E301" t="s">
        <v>231</v>
      </c>
      <c r="F301">
        <v>513714.88</v>
      </c>
      <c r="G301">
        <v>312</v>
      </c>
      <c r="H301">
        <v>983</v>
      </c>
    </row>
    <row r="302" spans="1:8" x14ac:dyDescent="0.3">
      <c r="A302">
        <v>2023</v>
      </c>
      <c r="B302" t="s">
        <v>21</v>
      </c>
      <c r="C302" t="s">
        <v>8</v>
      </c>
      <c r="D302" t="s">
        <v>145</v>
      </c>
      <c r="E302" t="s">
        <v>229</v>
      </c>
      <c r="F302">
        <v>517632.64</v>
      </c>
      <c r="G302">
        <v>413</v>
      </c>
      <c r="H302">
        <v>930</v>
      </c>
    </row>
    <row r="303" spans="1:8" x14ac:dyDescent="0.3">
      <c r="A303">
        <v>2023</v>
      </c>
      <c r="B303" t="s">
        <v>26</v>
      </c>
      <c r="C303" t="s">
        <v>8</v>
      </c>
      <c r="D303" t="s">
        <v>105</v>
      </c>
      <c r="E303" t="s">
        <v>234</v>
      </c>
      <c r="F303">
        <v>518578.50240000006</v>
      </c>
      <c r="G303">
        <v>568</v>
      </c>
      <c r="H303">
        <v>505</v>
      </c>
    </row>
    <row r="304" spans="1:8" x14ac:dyDescent="0.3">
      <c r="A304">
        <v>2023</v>
      </c>
      <c r="B304" t="s">
        <v>19</v>
      </c>
      <c r="C304" t="s">
        <v>8</v>
      </c>
      <c r="D304" t="s">
        <v>200</v>
      </c>
      <c r="E304" t="s">
        <v>234</v>
      </c>
      <c r="F304">
        <v>521042.45759999997</v>
      </c>
      <c r="G304">
        <v>168</v>
      </c>
      <c r="H304">
        <v>97</v>
      </c>
    </row>
    <row r="305" spans="1:8" x14ac:dyDescent="0.3">
      <c r="A305">
        <v>2023</v>
      </c>
      <c r="B305" t="s">
        <v>19</v>
      </c>
      <c r="C305" t="s">
        <v>8</v>
      </c>
      <c r="D305" t="s">
        <v>201</v>
      </c>
      <c r="E305" t="s">
        <v>229</v>
      </c>
      <c r="F305">
        <v>521766.56</v>
      </c>
      <c r="G305">
        <v>839</v>
      </c>
      <c r="H305">
        <v>334</v>
      </c>
    </row>
    <row r="306" spans="1:8" x14ac:dyDescent="0.3">
      <c r="A306">
        <v>2023</v>
      </c>
      <c r="B306" t="s">
        <v>18</v>
      </c>
      <c r="C306" t="s">
        <v>8</v>
      </c>
      <c r="D306" t="s">
        <v>39</v>
      </c>
      <c r="E306" t="s">
        <v>229</v>
      </c>
      <c r="F306">
        <v>522516.96</v>
      </c>
      <c r="G306">
        <v>839</v>
      </c>
      <c r="H306">
        <v>983</v>
      </c>
    </row>
    <row r="307" spans="1:8" x14ac:dyDescent="0.3">
      <c r="A307">
        <v>2023</v>
      </c>
      <c r="B307" t="s">
        <v>23</v>
      </c>
      <c r="C307" t="s">
        <v>8</v>
      </c>
      <c r="D307" t="s">
        <v>154</v>
      </c>
      <c r="E307" t="s">
        <v>232</v>
      </c>
      <c r="F307">
        <v>524849.92000000004</v>
      </c>
      <c r="G307">
        <v>168</v>
      </c>
      <c r="H307">
        <v>97</v>
      </c>
    </row>
    <row r="308" spans="1:8" x14ac:dyDescent="0.3">
      <c r="A308">
        <v>2023</v>
      </c>
      <c r="B308" t="s">
        <v>19</v>
      </c>
      <c r="C308" t="s">
        <v>8</v>
      </c>
      <c r="D308" t="s">
        <v>202</v>
      </c>
      <c r="E308" t="s">
        <v>234</v>
      </c>
      <c r="F308">
        <v>526794.23999999999</v>
      </c>
      <c r="G308">
        <v>168</v>
      </c>
      <c r="H308">
        <v>97</v>
      </c>
    </row>
    <row r="309" spans="1:8" x14ac:dyDescent="0.3">
      <c r="A309">
        <v>2023</v>
      </c>
      <c r="B309" t="s">
        <v>21</v>
      </c>
      <c r="C309" t="s">
        <v>8</v>
      </c>
      <c r="D309" t="s">
        <v>111</v>
      </c>
      <c r="E309" t="s">
        <v>234</v>
      </c>
      <c r="F309">
        <v>552284.00640000007</v>
      </c>
      <c r="G309">
        <v>597</v>
      </c>
      <c r="H309">
        <v>287</v>
      </c>
    </row>
    <row r="310" spans="1:8" x14ac:dyDescent="0.3">
      <c r="A310">
        <v>2023</v>
      </c>
      <c r="B310" t="s">
        <v>22</v>
      </c>
      <c r="C310" t="s">
        <v>8</v>
      </c>
      <c r="D310" t="s">
        <v>114</v>
      </c>
      <c r="E310" t="s">
        <v>229</v>
      </c>
      <c r="F310">
        <v>554812.07039999997</v>
      </c>
      <c r="G310">
        <v>839</v>
      </c>
      <c r="H310">
        <v>983</v>
      </c>
    </row>
    <row r="311" spans="1:8" x14ac:dyDescent="0.3">
      <c r="A311">
        <v>2023</v>
      </c>
      <c r="B311" t="s">
        <v>19</v>
      </c>
      <c r="C311" t="s">
        <v>8</v>
      </c>
      <c r="D311" t="s">
        <v>203</v>
      </c>
      <c r="E311" t="s">
        <v>230</v>
      </c>
      <c r="F311">
        <v>559043.25120000006</v>
      </c>
      <c r="G311">
        <v>839</v>
      </c>
      <c r="H311">
        <v>983</v>
      </c>
    </row>
    <row r="312" spans="1:8" x14ac:dyDescent="0.3">
      <c r="A312">
        <v>2023</v>
      </c>
      <c r="B312" t="s">
        <v>20</v>
      </c>
      <c r="C312" t="s">
        <v>8</v>
      </c>
      <c r="D312" t="s">
        <v>116</v>
      </c>
      <c r="E312" t="s">
        <v>236</v>
      </c>
      <c r="F312">
        <v>564318.31680000003</v>
      </c>
      <c r="G312">
        <v>312</v>
      </c>
      <c r="H312">
        <v>983</v>
      </c>
    </row>
    <row r="313" spans="1:8" x14ac:dyDescent="0.3">
      <c r="A313">
        <v>2023</v>
      </c>
      <c r="B313" t="s">
        <v>18</v>
      </c>
      <c r="C313" t="s">
        <v>8</v>
      </c>
      <c r="D313" t="s">
        <v>32</v>
      </c>
      <c r="E313" t="s">
        <v>231</v>
      </c>
      <c r="F313">
        <v>566350.4</v>
      </c>
      <c r="G313">
        <v>403</v>
      </c>
      <c r="H313">
        <v>953</v>
      </c>
    </row>
    <row r="314" spans="1:8" x14ac:dyDescent="0.3">
      <c r="A314">
        <v>2023</v>
      </c>
      <c r="B314" t="s">
        <v>25</v>
      </c>
      <c r="C314" t="s">
        <v>8</v>
      </c>
      <c r="D314" t="s">
        <v>117</v>
      </c>
      <c r="E314" t="s">
        <v>232</v>
      </c>
      <c r="F314">
        <v>566837.91360000009</v>
      </c>
      <c r="G314">
        <v>872</v>
      </c>
      <c r="H314">
        <v>249</v>
      </c>
    </row>
    <row r="315" spans="1:8" x14ac:dyDescent="0.3">
      <c r="A315">
        <v>2023</v>
      </c>
      <c r="B315" t="s">
        <v>19</v>
      </c>
      <c r="C315" t="s">
        <v>8</v>
      </c>
      <c r="D315" t="s">
        <v>204</v>
      </c>
      <c r="E315" t="s">
        <v>233</v>
      </c>
      <c r="F315">
        <v>578538.23999999999</v>
      </c>
      <c r="G315">
        <v>795</v>
      </c>
      <c r="H315">
        <v>469</v>
      </c>
    </row>
    <row r="316" spans="1:8" x14ac:dyDescent="0.3">
      <c r="A316">
        <v>2023</v>
      </c>
      <c r="B316" t="s">
        <v>25</v>
      </c>
      <c r="C316" t="s">
        <v>8</v>
      </c>
      <c r="D316" t="s">
        <v>56</v>
      </c>
      <c r="E316" t="s">
        <v>233</v>
      </c>
      <c r="F316">
        <v>587074.88</v>
      </c>
      <c r="G316">
        <v>210</v>
      </c>
      <c r="H316">
        <v>177</v>
      </c>
    </row>
    <row r="317" spans="1:8" x14ac:dyDescent="0.3">
      <c r="A317">
        <v>2023</v>
      </c>
      <c r="B317" t="s">
        <v>19</v>
      </c>
      <c r="C317" t="s">
        <v>8</v>
      </c>
      <c r="D317" t="s">
        <v>205</v>
      </c>
      <c r="E317" t="s">
        <v>233</v>
      </c>
      <c r="F317">
        <v>609031.36</v>
      </c>
      <c r="G317">
        <v>839</v>
      </c>
      <c r="H317">
        <v>334</v>
      </c>
    </row>
    <row r="318" spans="1:8" x14ac:dyDescent="0.3">
      <c r="A318">
        <v>2023</v>
      </c>
      <c r="B318" t="s">
        <v>27</v>
      </c>
      <c r="C318" t="s">
        <v>8</v>
      </c>
      <c r="D318" t="s">
        <v>173</v>
      </c>
      <c r="E318" t="s">
        <v>232</v>
      </c>
      <c r="F318">
        <v>612550.40000000002</v>
      </c>
      <c r="G318">
        <v>692</v>
      </c>
      <c r="H318">
        <v>300</v>
      </c>
    </row>
    <row r="319" spans="1:8" x14ac:dyDescent="0.3">
      <c r="A319">
        <v>2023</v>
      </c>
      <c r="B319" t="s">
        <v>25</v>
      </c>
      <c r="C319" t="s">
        <v>8</v>
      </c>
      <c r="D319" t="s">
        <v>54</v>
      </c>
      <c r="E319" t="s">
        <v>229</v>
      </c>
      <c r="F319">
        <v>612550.40000000002</v>
      </c>
      <c r="G319">
        <v>413</v>
      </c>
      <c r="H319">
        <v>930</v>
      </c>
    </row>
    <row r="320" spans="1:8" x14ac:dyDescent="0.3">
      <c r="A320">
        <v>2023</v>
      </c>
      <c r="B320" t="s">
        <v>25</v>
      </c>
      <c r="C320" t="s">
        <v>8</v>
      </c>
      <c r="D320" t="s">
        <v>128</v>
      </c>
      <c r="E320" t="s">
        <v>233</v>
      </c>
      <c r="F320">
        <v>624821.29920000001</v>
      </c>
      <c r="G320">
        <v>168</v>
      </c>
      <c r="H320">
        <v>97</v>
      </c>
    </row>
    <row r="321" spans="1:8" x14ac:dyDescent="0.3">
      <c r="A321">
        <v>2023</v>
      </c>
      <c r="B321" t="s">
        <v>25</v>
      </c>
      <c r="C321" t="s">
        <v>8</v>
      </c>
      <c r="D321" t="s">
        <v>131</v>
      </c>
      <c r="E321" t="s">
        <v>236</v>
      </c>
      <c r="F321">
        <v>633797.74080000003</v>
      </c>
      <c r="G321">
        <v>968</v>
      </c>
      <c r="H321">
        <v>330</v>
      </c>
    </row>
    <row r="322" spans="1:8" x14ac:dyDescent="0.3">
      <c r="A322">
        <v>2023</v>
      </c>
      <c r="B322" t="s">
        <v>27</v>
      </c>
      <c r="C322" t="s">
        <v>8</v>
      </c>
      <c r="D322" t="s">
        <v>132</v>
      </c>
      <c r="E322" t="s">
        <v>232</v>
      </c>
      <c r="F322">
        <v>634040.87040000001</v>
      </c>
      <c r="G322">
        <v>839</v>
      </c>
      <c r="H322">
        <v>983</v>
      </c>
    </row>
    <row r="323" spans="1:8" x14ac:dyDescent="0.3">
      <c r="A323">
        <v>2023</v>
      </c>
      <c r="B323" t="s">
        <v>18</v>
      </c>
      <c r="C323" t="s">
        <v>8</v>
      </c>
      <c r="D323" t="s">
        <v>157</v>
      </c>
      <c r="E323" t="s">
        <v>233</v>
      </c>
      <c r="F323">
        <v>635797.12</v>
      </c>
      <c r="G323">
        <v>93</v>
      </c>
      <c r="H323">
        <v>852</v>
      </c>
    </row>
    <row r="324" spans="1:8" x14ac:dyDescent="0.3">
      <c r="A324">
        <v>2023</v>
      </c>
      <c r="B324" t="s">
        <v>20</v>
      </c>
      <c r="C324" t="s">
        <v>8</v>
      </c>
      <c r="D324" t="s">
        <v>112</v>
      </c>
      <c r="E324" t="s">
        <v>236</v>
      </c>
      <c r="F324">
        <v>642616.80000000005</v>
      </c>
      <c r="G324">
        <v>577</v>
      </c>
      <c r="H324">
        <v>175</v>
      </c>
    </row>
    <row r="325" spans="1:8" x14ac:dyDescent="0.3">
      <c r="A325">
        <v>2023</v>
      </c>
      <c r="B325" t="s">
        <v>19</v>
      </c>
      <c r="C325" t="s">
        <v>8</v>
      </c>
      <c r="D325" t="s">
        <v>122</v>
      </c>
      <c r="E325" t="s">
        <v>228</v>
      </c>
      <c r="F325">
        <v>653988.16</v>
      </c>
      <c r="G325">
        <v>403</v>
      </c>
      <c r="H325">
        <v>953</v>
      </c>
    </row>
    <row r="326" spans="1:8" x14ac:dyDescent="0.3">
      <c r="A326">
        <v>2023</v>
      </c>
      <c r="B326" t="s">
        <v>24</v>
      </c>
      <c r="C326" t="s">
        <v>8</v>
      </c>
      <c r="D326" t="s">
        <v>206</v>
      </c>
      <c r="E326" t="s">
        <v>229</v>
      </c>
      <c r="F326">
        <v>655095.84</v>
      </c>
      <c r="G326">
        <v>692</v>
      </c>
      <c r="H326">
        <v>300</v>
      </c>
    </row>
    <row r="327" spans="1:8" x14ac:dyDescent="0.3">
      <c r="A327">
        <v>2023</v>
      </c>
      <c r="B327" t="s">
        <v>23</v>
      </c>
      <c r="C327" t="s">
        <v>8</v>
      </c>
      <c r="D327" t="s">
        <v>207</v>
      </c>
      <c r="E327" t="s">
        <v>233</v>
      </c>
      <c r="F327">
        <v>657753.86879999994</v>
      </c>
      <c r="G327">
        <v>610</v>
      </c>
      <c r="H327">
        <v>970</v>
      </c>
    </row>
    <row r="328" spans="1:8" x14ac:dyDescent="0.3">
      <c r="A328">
        <v>2023</v>
      </c>
      <c r="B328" t="s">
        <v>22</v>
      </c>
      <c r="C328" t="s">
        <v>8</v>
      </c>
      <c r="D328" t="s">
        <v>46</v>
      </c>
      <c r="E328" t="s">
        <v>230</v>
      </c>
      <c r="F328">
        <v>658492.80000000005</v>
      </c>
      <c r="G328">
        <v>568</v>
      </c>
      <c r="H328">
        <v>505</v>
      </c>
    </row>
    <row r="329" spans="1:8" x14ac:dyDescent="0.3">
      <c r="A329">
        <v>2023</v>
      </c>
      <c r="B329" t="s">
        <v>23</v>
      </c>
      <c r="C329" t="s">
        <v>8</v>
      </c>
      <c r="D329" t="s">
        <v>208</v>
      </c>
      <c r="E329" t="s">
        <v>230</v>
      </c>
      <c r="F329">
        <v>660390.07999999996</v>
      </c>
      <c r="G329">
        <v>577</v>
      </c>
      <c r="H329">
        <v>175</v>
      </c>
    </row>
    <row r="330" spans="1:8" x14ac:dyDescent="0.3">
      <c r="A330">
        <v>2023</v>
      </c>
      <c r="B330" t="s">
        <v>23</v>
      </c>
      <c r="C330" t="s">
        <v>8</v>
      </c>
      <c r="D330" t="s">
        <v>67</v>
      </c>
      <c r="E330" t="s">
        <v>235</v>
      </c>
      <c r="F330">
        <v>660390.07999999996</v>
      </c>
      <c r="G330">
        <v>93</v>
      </c>
      <c r="H330">
        <v>852</v>
      </c>
    </row>
    <row r="331" spans="1:8" x14ac:dyDescent="0.3">
      <c r="A331">
        <v>2023</v>
      </c>
      <c r="B331" t="s">
        <v>26</v>
      </c>
      <c r="C331" t="s">
        <v>8</v>
      </c>
      <c r="D331" t="s">
        <v>92</v>
      </c>
      <c r="E331" t="s">
        <v>234</v>
      </c>
      <c r="F331">
        <v>668335.35999999999</v>
      </c>
      <c r="G331">
        <v>839</v>
      </c>
      <c r="H331">
        <v>983</v>
      </c>
    </row>
    <row r="332" spans="1:8" x14ac:dyDescent="0.3">
      <c r="A332">
        <v>2023</v>
      </c>
      <c r="B332" t="s">
        <v>21</v>
      </c>
      <c r="C332" t="s">
        <v>8</v>
      </c>
      <c r="D332" t="s">
        <v>139</v>
      </c>
      <c r="E332" t="s">
        <v>229</v>
      </c>
      <c r="F332">
        <v>670153.12</v>
      </c>
      <c r="G332">
        <v>577</v>
      </c>
      <c r="H332">
        <v>175</v>
      </c>
    </row>
    <row r="333" spans="1:8" x14ac:dyDescent="0.3">
      <c r="A333">
        <v>2023</v>
      </c>
      <c r="B333" t="s">
        <v>19</v>
      </c>
      <c r="C333" t="s">
        <v>8</v>
      </c>
      <c r="D333" t="s">
        <v>101</v>
      </c>
      <c r="E333" t="s">
        <v>233</v>
      </c>
      <c r="F333">
        <v>685441.12</v>
      </c>
      <c r="G333">
        <v>872</v>
      </c>
      <c r="H333">
        <v>249</v>
      </c>
    </row>
    <row r="334" spans="1:8" x14ac:dyDescent="0.3">
      <c r="A334">
        <v>2023</v>
      </c>
      <c r="B334" t="s">
        <v>23</v>
      </c>
      <c r="C334" t="s">
        <v>8</v>
      </c>
      <c r="D334" t="s">
        <v>80</v>
      </c>
      <c r="E334" t="s">
        <v>236</v>
      </c>
      <c r="F334">
        <v>685790.56</v>
      </c>
      <c r="G334">
        <v>568</v>
      </c>
      <c r="H334">
        <v>505</v>
      </c>
    </row>
    <row r="335" spans="1:8" x14ac:dyDescent="0.3">
      <c r="A335">
        <v>2023</v>
      </c>
      <c r="B335" t="s">
        <v>25</v>
      </c>
      <c r="C335" t="s">
        <v>8</v>
      </c>
      <c r="D335" t="s">
        <v>41</v>
      </c>
      <c r="E335" t="s">
        <v>230</v>
      </c>
      <c r="F335">
        <v>686164.64</v>
      </c>
      <c r="G335">
        <v>795</v>
      </c>
      <c r="H335">
        <v>469</v>
      </c>
    </row>
    <row r="336" spans="1:8" x14ac:dyDescent="0.3">
      <c r="A336">
        <v>2023</v>
      </c>
      <c r="B336" t="s">
        <v>20</v>
      </c>
      <c r="C336" t="s">
        <v>8</v>
      </c>
      <c r="D336" t="s">
        <v>137</v>
      </c>
      <c r="E336" t="s">
        <v>230</v>
      </c>
      <c r="F336">
        <v>686660.88959999999</v>
      </c>
      <c r="G336">
        <v>795</v>
      </c>
      <c r="H336">
        <v>469</v>
      </c>
    </row>
    <row r="337" spans="1:8" x14ac:dyDescent="0.3">
      <c r="A337">
        <v>2023</v>
      </c>
      <c r="B337" t="s">
        <v>27</v>
      </c>
      <c r="C337" t="s">
        <v>8</v>
      </c>
      <c r="D337" t="s">
        <v>37</v>
      </c>
      <c r="E337" t="s">
        <v>230</v>
      </c>
      <c r="F337">
        <v>692508.32</v>
      </c>
      <c r="G337">
        <v>610</v>
      </c>
      <c r="H337">
        <v>970</v>
      </c>
    </row>
    <row r="338" spans="1:8" x14ac:dyDescent="0.3">
      <c r="A338">
        <v>2023</v>
      </c>
      <c r="B338" t="s">
        <v>26</v>
      </c>
      <c r="C338" t="s">
        <v>8</v>
      </c>
      <c r="D338" t="s">
        <v>178</v>
      </c>
      <c r="E338" t="s">
        <v>234</v>
      </c>
      <c r="F338">
        <v>692508.32</v>
      </c>
      <c r="G338">
        <v>287</v>
      </c>
      <c r="H338">
        <v>744</v>
      </c>
    </row>
    <row r="339" spans="1:8" x14ac:dyDescent="0.3">
      <c r="A339">
        <v>2023</v>
      </c>
      <c r="B339" t="s">
        <v>23</v>
      </c>
      <c r="C339" t="s">
        <v>8</v>
      </c>
      <c r="D339" t="s">
        <v>209</v>
      </c>
      <c r="E339" t="s">
        <v>232</v>
      </c>
      <c r="F339">
        <v>694077.43999999994</v>
      </c>
      <c r="G339">
        <v>568</v>
      </c>
      <c r="H339">
        <v>505</v>
      </c>
    </row>
    <row r="340" spans="1:8" x14ac:dyDescent="0.3">
      <c r="A340">
        <v>2023</v>
      </c>
      <c r="B340" t="s">
        <v>25</v>
      </c>
      <c r="C340" t="s">
        <v>8</v>
      </c>
      <c r="D340" t="s">
        <v>82</v>
      </c>
      <c r="E340" t="s">
        <v>231</v>
      </c>
      <c r="F340">
        <v>697089.12</v>
      </c>
      <c r="G340">
        <v>610</v>
      </c>
      <c r="H340">
        <v>970</v>
      </c>
    </row>
    <row r="341" spans="1:8" x14ac:dyDescent="0.3">
      <c r="A341">
        <v>2023</v>
      </c>
      <c r="B341" t="s">
        <v>22</v>
      </c>
      <c r="C341" t="s">
        <v>8</v>
      </c>
      <c r="D341" t="s">
        <v>81</v>
      </c>
      <c r="E341" t="s">
        <v>229</v>
      </c>
      <c r="F341">
        <v>701037.12</v>
      </c>
      <c r="G341">
        <v>312</v>
      </c>
      <c r="H341">
        <v>983</v>
      </c>
    </row>
    <row r="342" spans="1:8" x14ac:dyDescent="0.3">
      <c r="A342">
        <v>2023</v>
      </c>
      <c r="B342" t="s">
        <v>24</v>
      </c>
      <c r="C342" t="s">
        <v>8</v>
      </c>
      <c r="D342" t="s">
        <v>180</v>
      </c>
      <c r="E342" t="s">
        <v>236</v>
      </c>
      <c r="F342">
        <v>705535.04</v>
      </c>
      <c r="G342">
        <v>930</v>
      </c>
      <c r="H342">
        <v>563</v>
      </c>
    </row>
    <row r="343" spans="1:8" x14ac:dyDescent="0.3">
      <c r="A343">
        <v>2023</v>
      </c>
      <c r="B343" t="s">
        <v>26</v>
      </c>
      <c r="C343" t="s">
        <v>8</v>
      </c>
      <c r="D343" t="s">
        <v>36</v>
      </c>
      <c r="E343" t="s">
        <v>234</v>
      </c>
      <c r="F343">
        <v>707157.92</v>
      </c>
      <c r="G343">
        <v>872</v>
      </c>
      <c r="H343">
        <v>249</v>
      </c>
    </row>
    <row r="344" spans="1:8" x14ac:dyDescent="0.3">
      <c r="A344">
        <v>2023</v>
      </c>
      <c r="B344" t="s">
        <v>23</v>
      </c>
      <c r="C344" t="s">
        <v>8</v>
      </c>
      <c r="D344" t="s">
        <v>140</v>
      </c>
      <c r="E344" t="s">
        <v>233</v>
      </c>
      <c r="F344">
        <v>707503.50719999999</v>
      </c>
      <c r="G344">
        <v>872</v>
      </c>
      <c r="H344">
        <v>249</v>
      </c>
    </row>
    <row r="345" spans="1:8" x14ac:dyDescent="0.3">
      <c r="A345">
        <v>2023</v>
      </c>
      <c r="B345" t="s">
        <v>18</v>
      </c>
      <c r="C345" t="s">
        <v>8</v>
      </c>
      <c r="D345" t="s">
        <v>210</v>
      </c>
      <c r="E345" t="s">
        <v>231</v>
      </c>
      <c r="F345">
        <v>710112.48</v>
      </c>
      <c r="G345">
        <v>872</v>
      </c>
      <c r="H345">
        <v>249</v>
      </c>
    </row>
    <row r="346" spans="1:8" x14ac:dyDescent="0.3">
      <c r="A346">
        <v>2023</v>
      </c>
      <c r="B346" t="s">
        <v>25</v>
      </c>
      <c r="C346" t="s">
        <v>8</v>
      </c>
      <c r="D346" t="s">
        <v>141</v>
      </c>
      <c r="E346" t="s">
        <v>232</v>
      </c>
      <c r="F346">
        <v>711172.22400000005</v>
      </c>
      <c r="G346">
        <v>413</v>
      </c>
      <c r="H346">
        <v>930</v>
      </c>
    </row>
    <row r="347" spans="1:8" x14ac:dyDescent="0.3">
      <c r="A347">
        <v>2023</v>
      </c>
      <c r="B347" t="s">
        <v>25</v>
      </c>
      <c r="C347" t="s">
        <v>8</v>
      </c>
      <c r="D347" t="s">
        <v>64</v>
      </c>
      <c r="E347" t="s">
        <v>230</v>
      </c>
      <c r="F347">
        <v>712968.48</v>
      </c>
      <c r="G347">
        <v>403</v>
      </c>
      <c r="H347">
        <v>953</v>
      </c>
    </row>
    <row r="348" spans="1:8" x14ac:dyDescent="0.3">
      <c r="A348">
        <v>2023</v>
      </c>
      <c r="B348" t="s">
        <v>18</v>
      </c>
      <c r="C348" t="s">
        <v>8</v>
      </c>
      <c r="D348" t="s">
        <v>211</v>
      </c>
      <c r="E348" t="s">
        <v>236</v>
      </c>
      <c r="F348">
        <v>713221.28639999998</v>
      </c>
      <c r="G348">
        <v>692</v>
      </c>
      <c r="H348">
        <v>300</v>
      </c>
    </row>
    <row r="349" spans="1:8" x14ac:dyDescent="0.3">
      <c r="A349">
        <v>2023</v>
      </c>
      <c r="B349" t="s">
        <v>18</v>
      </c>
      <c r="C349" t="s">
        <v>8</v>
      </c>
      <c r="D349" t="s">
        <v>143</v>
      </c>
      <c r="E349" t="s">
        <v>229</v>
      </c>
      <c r="F349">
        <v>721802.1888</v>
      </c>
      <c r="G349">
        <v>839</v>
      </c>
      <c r="H349">
        <v>983</v>
      </c>
    </row>
    <row r="350" spans="1:8" x14ac:dyDescent="0.3">
      <c r="A350">
        <v>2023</v>
      </c>
      <c r="B350" t="s">
        <v>24</v>
      </c>
      <c r="C350" t="s">
        <v>8</v>
      </c>
      <c r="D350" t="s">
        <v>144</v>
      </c>
      <c r="E350" t="s">
        <v>236</v>
      </c>
      <c r="F350">
        <v>723765.36959999998</v>
      </c>
      <c r="G350">
        <v>930</v>
      </c>
      <c r="H350">
        <v>563</v>
      </c>
    </row>
    <row r="351" spans="1:8" x14ac:dyDescent="0.3">
      <c r="A351">
        <v>2023</v>
      </c>
      <c r="B351" t="s">
        <v>19</v>
      </c>
      <c r="C351" t="s">
        <v>8</v>
      </c>
      <c r="D351" t="s">
        <v>146</v>
      </c>
      <c r="E351" t="s">
        <v>234</v>
      </c>
      <c r="F351">
        <v>741057.8112</v>
      </c>
      <c r="G351">
        <v>872</v>
      </c>
      <c r="H351">
        <v>249</v>
      </c>
    </row>
    <row r="352" spans="1:8" x14ac:dyDescent="0.3">
      <c r="A352">
        <v>2023</v>
      </c>
      <c r="B352" t="s">
        <v>19</v>
      </c>
      <c r="C352" t="s">
        <v>8</v>
      </c>
      <c r="D352" t="s">
        <v>212</v>
      </c>
      <c r="E352" t="s">
        <v>230</v>
      </c>
      <c r="F352">
        <v>749603.6351999999</v>
      </c>
      <c r="G352">
        <v>795</v>
      </c>
      <c r="H352">
        <v>469</v>
      </c>
    </row>
    <row r="353" spans="1:8" x14ac:dyDescent="0.3">
      <c r="A353">
        <v>2023</v>
      </c>
      <c r="B353" t="s">
        <v>25</v>
      </c>
      <c r="C353" t="s">
        <v>8</v>
      </c>
      <c r="D353" t="s">
        <v>149</v>
      </c>
      <c r="E353" t="s">
        <v>232</v>
      </c>
      <c r="F353">
        <v>752856.24959999998</v>
      </c>
      <c r="G353">
        <v>968</v>
      </c>
      <c r="H353">
        <v>330</v>
      </c>
    </row>
    <row r="354" spans="1:8" x14ac:dyDescent="0.3">
      <c r="A354">
        <v>2023</v>
      </c>
      <c r="B354" t="s">
        <v>18</v>
      </c>
      <c r="C354" t="s">
        <v>8</v>
      </c>
      <c r="D354" t="s">
        <v>150</v>
      </c>
      <c r="E354" t="s">
        <v>229</v>
      </c>
      <c r="F354">
        <v>757120.08959999995</v>
      </c>
      <c r="G354">
        <v>839</v>
      </c>
      <c r="H354">
        <v>983</v>
      </c>
    </row>
    <row r="355" spans="1:8" x14ac:dyDescent="0.3">
      <c r="A355">
        <v>2023</v>
      </c>
      <c r="B355" t="s">
        <v>19</v>
      </c>
      <c r="C355" t="s">
        <v>8</v>
      </c>
      <c r="D355" t="s">
        <v>213</v>
      </c>
      <c r="E355" t="s">
        <v>229</v>
      </c>
      <c r="F355">
        <v>761977.8432</v>
      </c>
      <c r="G355">
        <v>872</v>
      </c>
      <c r="H355">
        <v>249</v>
      </c>
    </row>
    <row r="356" spans="1:8" x14ac:dyDescent="0.3">
      <c r="A356">
        <v>2023</v>
      </c>
      <c r="B356" t="s">
        <v>23</v>
      </c>
      <c r="C356" t="s">
        <v>8</v>
      </c>
      <c r="D356" t="s">
        <v>152</v>
      </c>
      <c r="E356" t="s">
        <v>232</v>
      </c>
      <c r="F356">
        <v>763730.55359999998</v>
      </c>
      <c r="G356">
        <v>568</v>
      </c>
      <c r="H356">
        <v>505</v>
      </c>
    </row>
    <row r="357" spans="1:8" x14ac:dyDescent="0.3">
      <c r="A357">
        <v>2023</v>
      </c>
      <c r="B357" t="s">
        <v>21</v>
      </c>
      <c r="C357" t="s">
        <v>8</v>
      </c>
      <c r="D357" t="s">
        <v>83</v>
      </c>
      <c r="E357" t="s">
        <v>229</v>
      </c>
      <c r="F357">
        <v>764721.44</v>
      </c>
      <c r="G357">
        <v>168</v>
      </c>
      <c r="H357">
        <v>97</v>
      </c>
    </row>
    <row r="358" spans="1:8" x14ac:dyDescent="0.3">
      <c r="A358">
        <v>2023</v>
      </c>
      <c r="B358" t="s">
        <v>21</v>
      </c>
      <c r="C358" t="s">
        <v>8</v>
      </c>
      <c r="D358" t="s">
        <v>153</v>
      </c>
      <c r="E358" t="s">
        <v>234</v>
      </c>
      <c r="F358">
        <v>766921.47840000002</v>
      </c>
      <c r="G358">
        <v>930</v>
      </c>
      <c r="H358">
        <v>563</v>
      </c>
    </row>
    <row r="359" spans="1:8" x14ac:dyDescent="0.3">
      <c r="A359">
        <v>2023</v>
      </c>
      <c r="B359" t="s">
        <v>24</v>
      </c>
      <c r="C359" t="s">
        <v>8</v>
      </c>
      <c r="D359" t="s">
        <v>214</v>
      </c>
      <c r="E359" t="s">
        <v>231</v>
      </c>
      <c r="F359">
        <v>814604</v>
      </c>
      <c r="G359">
        <v>610</v>
      </c>
      <c r="H359">
        <v>970</v>
      </c>
    </row>
    <row r="360" spans="1:8" x14ac:dyDescent="0.3">
      <c r="A360">
        <v>2023</v>
      </c>
      <c r="B360" t="s">
        <v>27</v>
      </c>
      <c r="C360" t="s">
        <v>8</v>
      </c>
      <c r="D360" t="s">
        <v>99</v>
      </c>
      <c r="E360" t="s">
        <v>233</v>
      </c>
      <c r="F360">
        <v>815366.72</v>
      </c>
      <c r="G360">
        <v>872</v>
      </c>
      <c r="H360">
        <v>249</v>
      </c>
    </row>
    <row r="361" spans="1:8" x14ac:dyDescent="0.3">
      <c r="A361">
        <v>2023</v>
      </c>
      <c r="B361" t="s">
        <v>23</v>
      </c>
      <c r="C361" t="s">
        <v>8</v>
      </c>
      <c r="D361" t="s">
        <v>74</v>
      </c>
      <c r="E361" t="s">
        <v>233</v>
      </c>
      <c r="F361">
        <v>815624.32</v>
      </c>
      <c r="G361">
        <v>287</v>
      </c>
      <c r="H361">
        <v>744</v>
      </c>
    </row>
    <row r="362" spans="1:8" x14ac:dyDescent="0.3">
      <c r="A362">
        <v>2023</v>
      </c>
      <c r="B362" t="s">
        <v>25</v>
      </c>
      <c r="C362" t="s">
        <v>8</v>
      </c>
      <c r="D362" t="s">
        <v>96</v>
      </c>
      <c r="E362" t="s">
        <v>229</v>
      </c>
      <c r="F362">
        <v>816850.72</v>
      </c>
      <c r="G362">
        <v>312</v>
      </c>
      <c r="H362">
        <v>983</v>
      </c>
    </row>
    <row r="363" spans="1:8" x14ac:dyDescent="0.3">
      <c r="A363">
        <v>2023</v>
      </c>
      <c r="B363" t="s">
        <v>19</v>
      </c>
      <c r="C363" t="s">
        <v>8</v>
      </c>
      <c r="D363" t="s">
        <v>215</v>
      </c>
      <c r="E363" t="s">
        <v>236</v>
      </c>
      <c r="F363">
        <v>819636.16</v>
      </c>
      <c r="G363">
        <v>210</v>
      </c>
      <c r="H363">
        <v>177</v>
      </c>
    </row>
    <row r="364" spans="1:8" x14ac:dyDescent="0.3">
      <c r="A364">
        <v>2023</v>
      </c>
      <c r="B364" t="s">
        <v>23</v>
      </c>
      <c r="C364" t="s">
        <v>8</v>
      </c>
      <c r="D364" t="s">
        <v>216</v>
      </c>
      <c r="E364" t="s">
        <v>236</v>
      </c>
      <c r="F364">
        <v>828244.47999999998</v>
      </c>
      <c r="G364">
        <v>577</v>
      </c>
      <c r="H364">
        <v>175</v>
      </c>
    </row>
    <row r="365" spans="1:8" x14ac:dyDescent="0.3">
      <c r="A365">
        <v>2023</v>
      </c>
      <c r="B365" t="s">
        <v>23</v>
      </c>
      <c r="C365" t="s">
        <v>8</v>
      </c>
      <c r="D365" t="s">
        <v>217</v>
      </c>
      <c r="E365" t="s">
        <v>236</v>
      </c>
      <c r="F365">
        <v>861855.67999999993</v>
      </c>
      <c r="G365">
        <v>210</v>
      </c>
      <c r="H365">
        <v>177</v>
      </c>
    </row>
    <row r="366" spans="1:8" x14ac:dyDescent="0.3">
      <c r="A366">
        <v>2023</v>
      </c>
      <c r="B366" t="s">
        <v>19</v>
      </c>
      <c r="C366" t="s">
        <v>8</v>
      </c>
      <c r="D366" t="s">
        <v>218</v>
      </c>
      <c r="E366" t="s">
        <v>231</v>
      </c>
      <c r="F366">
        <v>880596.05759999994</v>
      </c>
      <c r="G366">
        <v>577</v>
      </c>
      <c r="H366">
        <v>175</v>
      </c>
    </row>
    <row r="367" spans="1:8" x14ac:dyDescent="0.3">
      <c r="A367">
        <v>2023</v>
      </c>
      <c r="B367" t="s">
        <v>24</v>
      </c>
      <c r="C367" t="s">
        <v>8</v>
      </c>
      <c r="D367" t="s">
        <v>164</v>
      </c>
      <c r="E367" t="s">
        <v>235</v>
      </c>
      <c r="F367">
        <v>885207.05280000006</v>
      </c>
      <c r="G367">
        <v>692</v>
      </c>
      <c r="H367">
        <v>300</v>
      </c>
    </row>
    <row r="368" spans="1:8" x14ac:dyDescent="0.3">
      <c r="A368">
        <v>2023</v>
      </c>
      <c r="B368" t="s">
        <v>27</v>
      </c>
      <c r="C368" t="s">
        <v>8</v>
      </c>
      <c r="D368" t="s">
        <v>165</v>
      </c>
      <c r="E368" t="s">
        <v>231</v>
      </c>
      <c r="F368">
        <v>894504.03839999996</v>
      </c>
      <c r="G368">
        <v>692</v>
      </c>
      <c r="H368">
        <v>300</v>
      </c>
    </row>
    <row r="369" spans="1:8" x14ac:dyDescent="0.3">
      <c r="A369">
        <v>2023</v>
      </c>
      <c r="B369" t="s">
        <v>19</v>
      </c>
      <c r="C369" t="s">
        <v>8</v>
      </c>
      <c r="D369" t="s">
        <v>119</v>
      </c>
      <c r="E369" t="s">
        <v>232</v>
      </c>
      <c r="F369">
        <v>905044</v>
      </c>
      <c r="G369">
        <v>413</v>
      </c>
      <c r="H369">
        <v>930</v>
      </c>
    </row>
    <row r="370" spans="1:8" x14ac:dyDescent="0.3">
      <c r="A370">
        <v>2023</v>
      </c>
      <c r="B370" t="s">
        <v>27</v>
      </c>
      <c r="C370" t="s">
        <v>8</v>
      </c>
      <c r="D370" t="s">
        <v>179</v>
      </c>
      <c r="E370" t="s">
        <v>233</v>
      </c>
      <c r="F370">
        <v>907698.4</v>
      </c>
      <c r="G370">
        <v>312</v>
      </c>
      <c r="H370">
        <v>983</v>
      </c>
    </row>
    <row r="371" spans="1:8" x14ac:dyDescent="0.3">
      <c r="A371">
        <v>2023</v>
      </c>
      <c r="B371" t="s">
        <v>21</v>
      </c>
      <c r="C371" t="s">
        <v>8</v>
      </c>
      <c r="D371" t="s">
        <v>121</v>
      </c>
      <c r="E371" t="s">
        <v>229</v>
      </c>
      <c r="F371">
        <v>911080.8</v>
      </c>
      <c r="G371">
        <v>610</v>
      </c>
      <c r="H371">
        <v>970</v>
      </c>
    </row>
    <row r="372" spans="1:8" x14ac:dyDescent="0.3">
      <c r="A372">
        <v>2023</v>
      </c>
      <c r="B372" t="s">
        <v>24</v>
      </c>
      <c r="C372" t="s">
        <v>8</v>
      </c>
      <c r="D372" t="s">
        <v>219</v>
      </c>
      <c r="E372" t="s">
        <v>231</v>
      </c>
      <c r="F372">
        <v>925289.12</v>
      </c>
      <c r="G372">
        <v>610</v>
      </c>
      <c r="H372">
        <v>970</v>
      </c>
    </row>
    <row r="373" spans="1:8" x14ac:dyDescent="0.3">
      <c r="A373">
        <v>2023</v>
      </c>
      <c r="B373" t="s">
        <v>26</v>
      </c>
      <c r="C373" t="s">
        <v>8</v>
      </c>
      <c r="D373" t="s">
        <v>65</v>
      </c>
      <c r="E373" t="s">
        <v>229</v>
      </c>
      <c r="F373">
        <v>928877.6</v>
      </c>
      <c r="G373">
        <v>577</v>
      </c>
      <c r="H373">
        <v>175</v>
      </c>
    </row>
    <row r="374" spans="1:8" x14ac:dyDescent="0.3">
      <c r="A374">
        <v>2023</v>
      </c>
      <c r="B374" t="s">
        <v>23</v>
      </c>
      <c r="C374" t="s">
        <v>8</v>
      </c>
      <c r="D374" t="s">
        <v>167</v>
      </c>
      <c r="E374" t="s">
        <v>235</v>
      </c>
      <c r="F374">
        <v>930804.13439999998</v>
      </c>
      <c r="G374">
        <v>839</v>
      </c>
      <c r="H374">
        <v>334</v>
      </c>
    </row>
    <row r="375" spans="1:8" x14ac:dyDescent="0.3">
      <c r="A375">
        <v>2023</v>
      </c>
      <c r="B375" t="s">
        <v>19</v>
      </c>
      <c r="C375" t="s">
        <v>8</v>
      </c>
      <c r="D375" t="s">
        <v>220</v>
      </c>
      <c r="E375" t="s">
        <v>229</v>
      </c>
      <c r="F375">
        <v>935664.8</v>
      </c>
      <c r="G375">
        <v>930</v>
      </c>
      <c r="H375">
        <v>563</v>
      </c>
    </row>
    <row r="376" spans="1:8" x14ac:dyDescent="0.3">
      <c r="A376">
        <v>2023</v>
      </c>
      <c r="B376" t="s">
        <v>23</v>
      </c>
      <c r="C376" t="s">
        <v>8</v>
      </c>
      <c r="D376" t="s">
        <v>107</v>
      </c>
      <c r="E376" t="s">
        <v>231</v>
      </c>
      <c r="F376">
        <v>937183.52</v>
      </c>
      <c r="G376">
        <v>784</v>
      </c>
      <c r="H376">
        <v>540</v>
      </c>
    </row>
    <row r="377" spans="1:8" x14ac:dyDescent="0.3">
      <c r="A377">
        <v>2023</v>
      </c>
      <c r="B377" t="s">
        <v>18</v>
      </c>
      <c r="C377" t="s">
        <v>8</v>
      </c>
      <c r="D377" t="s">
        <v>221</v>
      </c>
      <c r="E377" t="s">
        <v>229</v>
      </c>
      <c r="F377">
        <v>951972</v>
      </c>
      <c r="G377">
        <v>93</v>
      </c>
      <c r="H377">
        <v>852</v>
      </c>
    </row>
    <row r="378" spans="1:8" x14ac:dyDescent="0.3">
      <c r="A378">
        <v>2023</v>
      </c>
      <c r="B378" t="s">
        <v>23</v>
      </c>
      <c r="C378" t="s">
        <v>8</v>
      </c>
      <c r="D378" t="s">
        <v>222</v>
      </c>
      <c r="E378" t="s">
        <v>229</v>
      </c>
      <c r="F378">
        <v>954561.44</v>
      </c>
      <c r="G378">
        <v>784</v>
      </c>
      <c r="H378">
        <v>540</v>
      </c>
    </row>
    <row r="379" spans="1:8" x14ac:dyDescent="0.3">
      <c r="A379">
        <v>2023</v>
      </c>
      <c r="B379" t="s">
        <v>25</v>
      </c>
      <c r="C379" t="s">
        <v>8</v>
      </c>
      <c r="D379" t="s">
        <v>223</v>
      </c>
      <c r="E379" t="s">
        <v>231</v>
      </c>
      <c r="F379">
        <v>964759.04000000004</v>
      </c>
      <c r="G379">
        <v>210</v>
      </c>
      <c r="H379">
        <v>177</v>
      </c>
    </row>
    <row r="380" spans="1:8" x14ac:dyDescent="0.3">
      <c r="A380">
        <v>2023</v>
      </c>
      <c r="B380" t="s">
        <v>24</v>
      </c>
      <c r="C380" t="s">
        <v>8</v>
      </c>
      <c r="D380" t="s">
        <v>224</v>
      </c>
      <c r="E380" t="s">
        <v>230</v>
      </c>
      <c r="F380">
        <v>966179.2</v>
      </c>
      <c r="G380">
        <v>839</v>
      </c>
      <c r="H380">
        <v>983</v>
      </c>
    </row>
    <row r="381" spans="1:8" x14ac:dyDescent="0.3">
      <c r="A381">
        <v>2023</v>
      </c>
      <c r="B381" t="s">
        <v>24</v>
      </c>
      <c r="C381" t="s">
        <v>8</v>
      </c>
      <c r="D381" t="s">
        <v>225</v>
      </c>
      <c r="E381" t="s">
        <v>232</v>
      </c>
      <c r="F381">
        <v>972447.84</v>
      </c>
      <c r="G381">
        <v>413</v>
      </c>
      <c r="H381">
        <v>930</v>
      </c>
    </row>
    <row r="382" spans="1:8" x14ac:dyDescent="0.3">
      <c r="A382">
        <v>2023</v>
      </c>
      <c r="B382" t="s">
        <v>22</v>
      </c>
      <c r="C382" t="s">
        <v>8</v>
      </c>
      <c r="D382" t="s">
        <v>142</v>
      </c>
      <c r="E382" t="s">
        <v>229</v>
      </c>
      <c r="F382">
        <v>972776</v>
      </c>
      <c r="G382">
        <v>784</v>
      </c>
      <c r="H382">
        <v>540</v>
      </c>
    </row>
    <row r="383" spans="1:8" x14ac:dyDescent="0.3">
      <c r="A383">
        <v>2023</v>
      </c>
      <c r="B383" t="s">
        <v>21</v>
      </c>
      <c r="C383" t="s">
        <v>8</v>
      </c>
      <c r="D383" t="s">
        <v>90</v>
      </c>
      <c r="E383" t="s">
        <v>231</v>
      </c>
      <c r="F383">
        <v>972776</v>
      </c>
      <c r="G383">
        <v>312</v>
      </c>
      <c r="H383">
        <v>983</v>
      </c>
    </row>
    <row r="384" spans="1:8" x14ac:dyDescent="0.3">
      <c r="A384">
        <v>2023</v>
      </c>
      <c r="B384" t="s">
        <v>19</v>
      </c>
      <c r="C384" t="s">
        <v>8</v>
      </c>
      <c r="D384" t="s">
        <v>113</v>
      </c>
      <c r="E384" t="s">
        <v>234</v>
      </c>
      <c r="F384">
        <v>979711.89119999995</v>
      </c>
      <c r="G384">
        <v>872</v>
      </c>
      <c r="H384">
        <v>249</v>
      </c>
    </row>
    <row r="385" spans="1:8" x14ac:dyDescent="0.3">
      <c r="A385">
        <v>2023</v>
      </c>
      <c r="B385" t="s">
        <v>25</v>
      </c>
      <c r="C385" t="s">
        <v>8</v>
      </c>
      <c r="D385" t="s">
        <v>31</v>
      </c>
      <c r="E385" t="s">
        <v>229</v>
      </c>
      <c r="F385">
        <v>987995.67999999993</v>
      </c>
      <c r="G385">
        <v>210</v>
      </c>
      <c r="H385">
        <v>177</v>
      </c>
    </row>
    <row r="386" spans="1:8" x14ac:dyDescent="0.3">
      <c r="A386">
        <v>2023</v>
      </c>
      <c r="B386" t="s">
        <v>19</v>
      </c>
      <c r="C386" t="s">
        <v>8</v>
      </c>
      <c r="D386" t="s">
        <v>170</v>
      </c>
      <c r="E386" t="s">
        <v>235</v>
      </c>
      <c r="F386">
        <v>999312.24959999998</v>
      </c>
      <c r="G386">
        <v>610</v>
      </c>
      <c r="H386">
        <v>970</v>
      </c>
    </row>
    <row r="387" spans="1:8" x14ac:dyDescent="0.3">
      <c r="A387">
        <v>2023</v>
      </c>
      <c r="B387" t="s">
        <v>19</v>
      </c>
      <c r="C387" t="s">
        <v>8</v>
      </c>
      <c r="D387" t="s">
        <v>163</v>
      </c>
      <c r="E387" t="s">
        <v>232</v>
      </c>
      <c r="F387">
        <v>1001066.08</v>
      </c>
      <c r="G387">
        <v>692</v>
      </c>
      <c r="H387">
        <v>300</v>
      </c>
    </row>
    <row r="388" spans="1:8" x14ac:dyDescent="0.3">
      <c r="A388">
        <v>2023</v>
      </c>
      <c r="B388" t="s">
        <v>24</v>
      </c>
      <c r="C388" t="s">
        <v>8</v>
      </c>
      <c r="D388" t="s">
        <v>156</v>
      </c>
      <c r="E388" t="s">
        <v>233</v>
      </c>
      <c r="F388">
        <v>1001880.32</v>
      </c>
      <c r="G388">
        <v>839</v>
      </c>
      <c r="H388">
        <v>334</v>
      </c>
    </row>
    <row r="389" spans="1:8" x14ac:dyDescent="0.3">
      <c r="A389">
        <v>2023</v>
      </c>
      <c r="B389" t="s">
        <v>25</v>
      </c>
      <c r="C389" t="s">
        <v>8</v>
      </c>
      <c r="D389" t="s">
        <v>133</v>
      </c>
      <c r="E389" t="s">
        <v>229</v>
      </c>
      <c r="F389">
        <v>1010517.9840000001</v>
      </c>
      <c r="G389">
        <v>413</v>
      </c>
      <c r="H389">
        <v>930</v>
      </c>
    </row>
    <row r="390" spans="1:8" x14ac:dyDescent="0.3">
      <c r="A390">
        <v>2023</v>
      </c>
      <c r="B390" t="s">
        <v>27</v>
      </c>
      <c r="C390" t="s">
        <v>8</v>
      </c>
      <c r="D390" t="s">
        <v>168</v>
      </c>
      <c r="E390" t="s">
        <v>232</v>
      </c>
      <c r="F390">
        <v>1019351.2</v>
      </c>
      <c r="G390">
        <v>577</v>
      </c>
      <c r="H390">
        <v>175</v>
      </c>
    </row>
    <row r="391" spans="1:8" x14ac:dyDescent="0.3">
      <c r="A391">
        <v>2023</v>
      </c>
      <c r="B391" t="s">
        <v>19</v>
      </c>
      <c r="C391" t="s">
        <v>8</v>
      </c>
      <c r="D391" t="s">
        <v>60</v>
      </c>
      <c r="E391" t="s">
        <v>229</v>
      </c>
      <c r="F391">
        <v>1029721.28</v>
      </c>
      <c r="G391">
        <v>692</v>
      </c>
      <c r="H391">
        <v>300</v>
      </c>
    </row>
    <row r="392" spans="1:8" x14ac:dyDescent="0.3">
      <c r="A392">
        <v>2023</v>
      </c>
      <c r="B392" t="s">
        <v>25</v>
      </c>
      <c r="C392" t="s">
        <v>8</v>
      </c>
      <c r="D392" t="s">
        <v>115</v>
      </c>
      <c r="E392" t="s">
        <v>231</v>
      </c>
      <c r="F392">
        <v>1031250.08</v>
      </c>
      <c r="G392">
        <v>692</v>
      </c>
      <c r="H392">
        <v>300</v>
      </c>
    </row>
    <row r="393" spans="1:8" x14ac:dyDescent="0.3">
      <c r="A393">
        <v>2023</v>
      </c>
      <c r="B393" t="s">
        <v>19</v>
      </c>
      <c r="C393" t="s">
        <v>8</v>
      </c>
      <c r="D393" t="s">
        <v>88</v>
      </c>
      <c r="E393" t="s">
        <v>231</v>
      </c>
      <c r="F393">
        <v>1043473.536</v>
      </c>
      <c r="G393">
        <v>568</v>
      </c>
      <c r="H393">
        <v>505</v>
      </c>
    </row>
    <row r="394" spans="1:8" x14ac:dyDescent="0.3">
      <c r="A394">
        <v>2023</v>
      </c>
      <c r="B394" t="s">
        <v>24</v>
      </c>
      <c r="C394" t="s">
        <v>8</v>
      </c>
      <c r="D394" t="s">
        <v>226</v>
      </c>
      <c r="E394" t="s">
        <v>233</v>
      </c>
      <c r="F394">
        <v>1053598.56</v>
      </c>
      <c r="G394">
        <v>597</v>
      </c>
      <c r="H394">
        <v>287</v>
      </c>
    </row>
    <row r="395" spans="1:8" x14ac:dyDescent="0.3">
      <c r="A395">
        <v>2023</v>
      </c>
      <c r="B395" t="s">
        <v>21</v>
      </c>
      <c r="C395" t="s">
        <v>8</v>
      </c>
      <c r="D395" t="s">
        <v>169</v>
      </c>
      <c r="E395" t="s">
        <v>233</v>
      </c>
      <c r="F395">
        <v>1055253.92</v>
      </c>
      <c r="G395">
        <v>577</v>
      </c>
      <c r="H395">
        <v>175</v>
      </c>
    </row>
    <row r="396" spans="1:8" x14ac:dyDescent="0.3">
      <c r="A396">
        <v>2023</v>
      </c>
      <c r="B396" t="s">
        <v>23</v>
      </c>
      <c r="C396" t="s">
        <v>8</v>
      </c>
      <c r="D396" t="s">
        <v>130</v>
      </c>
      <c r="E396" t="s">
        <v>236</v>
      </c>
      <c r="F396">
        <v>1067035.3344000001</v>
      </c>
      <c r="G396">
        <v>413</v>
      </c>
      <c r="H396">
        <v>930</v>
      </c>
    </row>
    <row r="397" spans="1:8" x14ac:dyDescent="0.3">
      <c r="A397">
        <v>2023</v>
      </c>
      <c r="B397" t="s">
        <v>20</v>
      </c>
      <c r="C397" t="s">
        <v>8</v>
      </c>
      <c r="D397" t="s">
        <v>57</v>
      </c>
      <c r="E397" t="s">
        <v>230</v>
      </c>
      <c r="F397">
        <v>1070216</v>
      </c>
      <c r="G397">
        <v>93</v>
      </c>
      <c r="H397">
        <v>852</v>
      </c>
    </row>
    <row r="398" spans="1:8" x14ac:dyDescent="0.3">
      <c r="A398">
        <v>2023</v>
      </c>
      <c r="B398" t="s">
        <v>20</v>
      </c>
      <c r="C398" t="s">
        <v>8</v>
      </c>
      <c r="D398" t="s">
        <v>177</v>
      </c>
      <c r="E398" t="s">
        <v>234</v>
      </c>
      <c r="F398">
        <v>1092370.72</v>
      </c>
      <c r="G398">
        <v>795</v>
      </c>
      <c r="H398">
        <v>469</v>
      </c>
    </row>
    <row r="399" spans="1:8" x14ac:dyDescent="0.3">
      <c r="A399">
        <v>2023</v>
      </c>
      <c r="B399" t="s">
        <v>22</v>
      </c>
      <c r="C399" t="s">
        <v>8</v>
      </c>
      <c r="D399" t="s">
        <v>51</v>
      </c>
      <c r="E399" t="s">
        <v>230</v>
      </c>
      <c r="F399">
        <v>1109746.3104000001</v>
      </c>
      <c r="G399">
        <v>312</v>
      </c>
      <c r="H399">
        <v>983</v>
      </c>
    </row>
    <row r="400" spans="1:8" x14ac:dyDescent="0.3">
      <c r="A400">
        <v>2023</v>
      </c>
      <c r="B400" t="s">
        <v>25</v>
      </c>
      <c r="C400" t="s">
        <v>8</v>
      </c>
      <c r="D400" t="s">
        <v>34</v>
      </c>
      <c r="E400" t="s">
        <v>229</v>
      </c>
      <c r="F400">
        <v>1109916.6399999999</v>
      </c>
      <c r="G400">
        <v>839</v>
      </c>
      <c r="H400">
        <v>334</v>
      </c>
    </row>
    <row r="401" spans="1:8" x14ac:dyDescent="0.3">
      <c r="A401">
        <v>2023</v>
      </c>
      <c r="B401" t="s">
        <v>20</v>
      </c>
      <c r="C401" t="s">
        <v>8</v>
      </c>
      <c r="D401" t="s">
        <v>124</v>
      </c>
      <c r="E401" t="s">
        <v>235</v>
      </c>
      <c r="F401">
        <v>1113750.0863999999</v>
      </c>
      <c r="G401">
        <v>287</v>
      </c>
      <c r="H401">
        <v>744</v>
      </c>
    </row>
    <row r="402" spans="1:8" x14ac:dyDescent="0.3">
      <c r="A402">
        <v>2023</v>
      </c>
      <c r="B402" t="s">
        <v>19</v>
      </c>
      <c r="C402" t="s">
        <v>8</v>
      </c>
      <c r="D402" t="s">
        <v>120</v>
      </c>
      <c r="E402" t="s">
        <v>234</v>
      </c>
      <c r="F402">
        <v>1115106.72</v>
      </c>
      <c r="G402">
        <v>168</v>
      </c>
      <c r="H402">
        <v>97</v>
      </c>
    </row>
    <row r="403" spans="1:8" x14ac:dyDescent="0.3">
      <c r="A403">
        <v>2023</v>
      </c>
      <c r="B403" t="s">
        <v>18</v>
      </c>
      <c r="C403" t="s">
        <v>8</v>
      </c>
      <c r="D403" t="s">
        <v>183</v>
      </c>
      <c r="E403" t="s">
        <v>231</v>
      </c>
      <c r="F403">
        <v>1137886.4448000002</v>
      </c>
      <c r="G403">
        <v>839</v>
      </c>
      <c r="H403">
        <v>334</v>
      </c>
    </row>
    <row r="404" spans="1:8" x14ac:dyDescent="0.3">
      <c r="A404">
        <v>2023</v>
      </c>
      <c r="B404" t="s">
        <v>18</v>
      </c>
      <c r="C404" t="s">
        <v>8</v>
      </c>
      <c r="D404" t="s">
        <v>227</v>
      </c>
      <c r="E404" t="s">
        <v>236</v>
      </c>
      <c r="F404">
        <v>1155833.28</v>
      </c>
      <c r="G404">
        <v>839</v>
      </c>
      <c r="H404">
        <v>334</v>
      </c>
    </row>
    <row r="405" spans="1:8" x14ac:dyDescent="0.3">
      <c r="A405">
        <v>2023</v>
      </c>
      <c r="B405" t="s">
        <v>25</v>
      </c>
      <c r="C405" t="s">
        <v>8</v>
      </c>
      <c r="D405" t="s">
        <v>181</v>
      </c>
      <c r="E405" t="s">
        <v>230</v>
      </c>
      <c r="F405">
        <v>1179760.3776</v>
      </c>
      <c r="G405">
        <v>795</v>
      </c>
      <c r="H405">
        <v>469</v>
      </c>
    </row>
    <row r="406" spans="1:8" x14ac:dyDescent="0.3">
      <c r="A406">
        <v>2023</v>
      </c>
      <c r="B406" t="s">
        <v>20</v>
      </c>
      <c r="C406" t="s">
        <v>8</v>
      </c>
      <c r="D406" t="s">
        <v>182</v>
      </c>
      <c r="E406" t="s">
        <v>236</v>
      </c>
      <c r="F406">
        <v>1180128.0959999999</v>
      </c>
      <c r="G406">
        <v>610</v>
      </c>
      <c r="H406">
        <v>970</v>
      </c>
    </row>
    <row r="407" spans="1:8" x14ac:dyDescent="0.3">
      <c r="A407">
        <v>2023</v>
      </c>
      <c r="B407" t="s">
        <v>25</v>
      </c>
      <c r="C407" t="s">
        <v>8</v>
      </c>
      <c r="D407" t="s">
        <v>175</v>
      </c>
      <c r="E407" t="s">
        <v>229</v>
      </c>
      <c r="F407">
        <v>1198709.9711999998</v>
      </c>
      <c r="G407">
        <v>413</v>
      </c>
      <c r="H407">
        <v>930</v>
      </c>
    </row>
    <row r="408" spans="1:8" x14ac:dyDescent="0.3">
      <c r="A408">
        <v>2022</v>
      </c>
      <c r="B408" t="s">
        <v>22</v>
      </c>
      <c r="C408" t="s">
        <v>8</v>
      </c>
      <c r="D408" t="s">
        <v>29</v>
      </c>
      <c r="E408" t="s">
        <v>234</v>
      </c>
      <c r="F408">
        <v>117088.16</v>
      </c>
      <c r="G408">
        <v>784</v>
      </c>
      <c r="H408">
        <v>540</v>
      </c>
    </row>
    <row r="409" spans="1:8" x14ac:dyDescent="0.3">
      <c r="A409">
        <v>2022</v>
      </c>
      <c r="B409" t="s">
        <v>25</v>
      </c>
      <c r="C409" t="s">
        <v>8</v>
      </c>
      <c r="D409" t="s">
        <v>190</v>
      </c>
      <c r="E409" t="s">
        <v>231</v>
      </c>
      <c r="F409">
        <v>117088.16</v>
      </c>
      <c r="G409">
        <v>795</v>
      </c>
      <c r="H409">
        <v>469</v>
      </c>
    </row>
    <row r="410" spans="1:8" x14ac:dyDescent="0.3">
      <c r="A410">
        <v>2022</v>
      </c>
      <c r="B410" t="s">
        <v>26</v>
      </c>
      <c r="C410" t="s">
        <v>8</v>
      </c>
      <c r="D410" t="s">
        <v>31</v>
      </c>
      <c r="E410" t="s">
        <v>230</v>
      </c>
      <c r="F410">
        <v>129596.32</v>
      </c>
      <c r="G410">
        <v>930</v>
      </c>
      <c r="H410">
        <v>563</v>
      </c>
    </row>
    <row r="411" spans="1:8" x14ac:dyDescent="0.3">
      <c r="A411">
        <v>2022</v>
      </c>
      <c r="B411" t="s">
        <v>22</v>
      </c>
      <c r="C411" t="s">
        <v>9</v>
      </c>
      <c r="D411" t="s">
        <v>32</v>
      </c>
      <c r="E411" t="s">
        <v>230</v>
      </c>
      <c r="F411">
        <v>138432</v>
      </c>
      <c r="G411">
        <v>312</v>
      </c>
      <c r="H411">
        <v>983</v>
      </c>
    </row>
    <row r="412" spans="1:8" x14ac:dyDescent="0.3">
      <c r="A412">
        <v>2022</v>
      </c>
      <c r="B412" t="s">
        <v>26</v>
      </c>
      <c r="C412" t="s">
        <v>8</v>
      </c>
      <c r="D412" t="s">
        <v>35</v>
      </c>
      <c r="E412" t="s">
        <v>233</v>
      </c>
      <c r="F412">
        <v>148080.79999999999</v>
      </c>
      <c r="G412">
        <v>839</v>
      </c>
      <c r="H412">
        <v>334</v>
      </c>
    </row>
    <row r="413" spans="1:8" x14ac:dyDescent="0.3">
      <c r="A413">
        <v>2022</v>
      </c>
      <c r="B413" t="s">
        <v>23</v>
      </c>
      <c r="C413" t="s">
        <v>8</v>
      </c>
      <c r="D413" t="s">
        <v>36</v>
      </c>
      <c r="E413" t="s">
        <v>232</v>
      </c>
      <c r="F413">
        <v>151026.4</v>
      </c>
      <c r="G413">
        <v>568</v>
      </c>
      <c r="H413">
        <v>505</v>
      </c>
    </row>
    <row r="414" spans="1:8" x14ac:dyDescent="0.3">
      <c r="A414">
        <v>2022</v>
      </c>
      <c r="B414" t="s">
        <v>25</v>
      </c>
      <c r="C414" t="s">
        <v>10</v>
      </c>
      <c r="D414" t="s">
        <v>37</v>
      </c>
      <c r="E414" t="s">
        <v>233</v>
      </c>
      <c r="F414">
        <v>161066.07999999999</v>
      </c>
      <c r="G414">
        <v>210</v>
      </c>
      <c r="H414">
        <v>177</v>
      </c>
    </row>
    <row r="415" spans="1:8" x14ac:dyDescent="0.3">
      <c r="A415">
        <v>2022</v>
      </c>
      <c r="B415" t="s">
        <v>23</v>
      </c>
      <c r="C415" t="s">
        <v>8</v>
      </c>
      <c r="D415" t="s">
        <v>38</v>
      </c>
      <c r="E415" t="s">
        <v>232</v>
      </c>
      <c r="F415">
        <v>164317.44</v>
      </c>
      <c r="G415">
        <v>568</v>
      </c>
      <c r="H415">
        <v>505</v>
      </c>
    </row>
    <row r="416" spans="1:8" x14ac:dyDescent="0.3">
      <c r="A416">
        <v>2022</v>
      </c>
      <c r="B416" t="s">
        <v>18</v>
      </c>
      <c r="C416" t="s">
        <v>11</v>
      </c>
      <c r="D416" t="s">
        <v>172</v>
      </c>
      <c r="E416" t="s">
        <v>229</v>
      </c>
      <c r="F416">
        <v>164317.44</v>
      </c>
      <c r="G416">
        <v>839</v>
      </c>
      <c r="H416">
        <v>983</v>
      </c>
    </row>
    <row r="417" spans="1:8" x14ac:dyDescent="0.3">
      <c r="A417">
        <v>2022</v>
      </c>
      <c r="B417" t="s">
        <v>21</v>
      </c>
      <c r="C417" t="s">
        <v>8</v>
      </c>
      <c r="D417" t="s">
        <v>39</v>
      </c>
      <c r="E417" t="s">
        <v>229</v>
      </c>
      <c r="F417">
        <v>166970.72</v>
      </c>
      <c r="G417">
        <v>577</v>
      </c>
      <c r="H417">
        <v>175</v>
      </c>
    </row>
    <row r="418" spans="1:8" x14ac:dyDescent="0.3">
      <c r="A418">
        <v>2022</v>
      </c>
      <c r="B418" t="s">
        <v>25</v>
      </c>
      <c r="C418" t="s">
        <v>8</v>
      </c>
      <c r="D418" t="s">
        <v>40</v>
      </c>
      <c r="E418" t="s">
        <v>233</v>
      </c>
      <c r="F418">
        <v>167547.51999999999</v>
      </c>
      <c r="G418">
        <v>413</v>
      </c>
      <c r="H418">
        <v>930</v>
      </c>
    </row>
    <row r="419" spans="1:8" x14ac:dyDescent="0.3">
      <c r="A419">
        <v>2022</v>
      </c>
      <c r="B419" t="s">
        <v>25</v>
      </c>
      <c r="C419" t="s">
        <v>8</v>
      </c>
      <c r="D419" t="s">
        <v>41</v>
      </c>
      <c r="E419" t="s">
        <v>229</v>
      </c>
      <c r="F419">
        <v>170051.84</v>
      </c>
      <c r="G419">
        <v>413</v>
      </c>
      <c r="H419">
        <v>930</v>
      </c>
    </row>
    <row r="420" spans="1:8" x14ac:dyDescent="0.3">
      <c r="A420">
        <v>2022</v>
      </c>
      <c r="B420" t="s">
        <v>19</v>
      </c>
      <c r="C420" t="s">
        <v>8</v>
      </c>
      <c r="D420" t="s">
        <v>42</v>
      </c>
      <c r="E420" t="s">
        <v>233</v>
      </c>
      <c r="F420">
        <v>170291.52</v>
      </c>
      <c r="G420">
        <v>312</v>
      </c>
      <c r="H420">
        <v>983</v>
      </c>
    </row>
    <row r="421" spans="1:8" x14ac:dyDescent="0.3">
      <c r="A421">
        <v>2022</v>
      </c>
      <c r="B421" t="s">
        <v>18</v>
      </c>
      <c r="C421" t="s">
        <v>8</v>
      </c>
      <c r="D421" t="s">
        <v>116</v>
      </c>
      <c r="E421" t="s">
        <v>232</v>
      </c>
      <c r="F421">
        <v>181082.72</v>
      </c>
      <c r="G421">
        <v>93</v>
      </c>
      <c r="H421">
        <v>852</v>
      </c>
    </row>
    <row r="422" spans="1:8" x14ac:dyDescent="0.3">
      <c r="A422">
        <v>2022</v>
      </c>
      <c r="B422" t="s">
        <v>27</v>
      </c>
      <c r="C422" t="s">
        <v>8</v>
      </c>
      <c r="D422" t="s">
        <v>43</v>
      </c>
      <c r="E422" t="s">
        <v>231</v>
      </c>
      <c r="F422">
        <v>181082.72</v>
      </c>
      <c r="G422">
        <v>692</v>
      </c>
      <c r="H422">
        <v>300</v>
      </c>
    </row>
    <row r="423" spans="1:8" x14ac:dyDescent="0.3">
      <c r="A423">
        <v>2022</v>
      </c>
      <c r="B423" t="s">
        <v>22</v>
      </c>
      <c r="C423" t="s">
        <v>8</v>
      </c>
      <c r="D423" t="s">
        <v>222</v>
      </c>
      <c r="E423" t="s">
        <v>231</v>
      </c>
      <c r="F423">
        <v>185506.72</v>
      </c>
      <c r="G423">
        <v>413</v>
      </c>
      <c r="H423">
        <v>930</v>
      </c>
    </row>
    <row r="424" spans="1:8" x14ac:dyDescent="0.3">
      <c r="A424">
        <v>2022</v>
      </c>
      <c r="B424" t="s">
        <v>19</v>
      </c>
      <c r="C424" t="s">
        <v>8</v>
      </c>
      <c r="D424" t="s">
        <v>102</v>
      </c>
      <c r="E424" t="s">
        <v>236</v>
      </c>
      <c r="F424">
        <v>185506.72</v>
      </c>
      <c r="G424">
        <v>692</v>
      </c>
      <c r="H424">
        <v>300</v>
      </c>
    </row>
    <row r="425" spans="1:8" x14ac:dyDescent="0.3">
      <c r="A425">
        <v>2022</v>
      </c>
      <c r="B425" t="s">
        <v>23</v>
      </c>
      <c r="C425" t="s">
        <v>8</v>
      </c>
      <c r="D425" t="s">
        <v>134</v>
      </c>
      <c r="E425" t="s">
        <v>236</v>
      </c>
      <c r="F425">
        <v>185506.72</v>
      </c>
      <c r="G425">
        <v>839</v>
      </c>
      <c r="H425">
        <v>983</v>
      </c>
    </row>
    <row r="426" spans="1:8" x14ac:dyDescent="0.3">
      <c r="A426">
        <v>2022</v>
      </c>
      <c r="B426" t="s">
        <v>24</v>
      </c>
      <c r="C426" t="s">
        <v>12</v>
      </c>
      <c r="D426" t="s">
        <v>104</v>
      </c>
      <c r="E426" t="s">
        <v>236</v>
      </c>
      <c r="F426">
        <v>185506.72</v>
      </c>
      <c r="G426">
        <v>930</v>
      </c>
      <c r="H426">
        <v>563</v>
      </c>
    </row>
    <row r="427" spans="1:8" x14ac:dyDescent="0.3">
      <c r="A427">
        <v>2022</v>
      </c>
      <c r="B427" t="s">
        <v>19</v>
      </c>
      <c r="C427" t="s">
        <v>8</v>
      </c>
      <c r="D427" t="s">
        <v>54</v>
      </c>
      <c r="E427" t="s">
        <v>236</v>
      </c>
      <c r="F427">
        <v>185506.72</v>
      </c>
      <c r="G427">
        <v>692</v>
      </c>
      <c r="H427">
        <v>300</v>
      </c>
    </row>
    <row r="428" spans="1:8" x14ac:dyDescent="0.3">
      <c r="A428">
        <v>2022</v>
      </c>
      <c r="B428" t="s">
        <v>19</v>
      </c>
      <c r="C428" t="s">
        <v>8</v>
      </c>
      <c r="D428" t="s">
        <v>123</v>
      </c>
      <c r="E428" t="s">
        <v>236</v>
      </c>
      <c r="F428">
        <v>185506.72</v>
      </c>
      <c r="G428">
        <v>413</v>
      </c>
      <c r="H428">
        <v>930</v>
      </c>
    </row>
    <row r="429" spans="1:8" x14ac:dyDescent="0.3">
      <c r="A429">
        <v>2022</v>
      </c>
      <c r="B429" t="s">
        <v>19</v>
      </c>
      <c r="C429" t="s">
        <v>8</v>
      </c>
      <c r="D429" t="s">
        <v>120</v>
      </c>
      <c r="E429" t="s">
        <v>236</v>
      </c>
      <c r="F429">
        <v>185506.72</v>
      </c>
      <c r="G429">
        <v>872</v>
      </c>
      <c r="H429">
        <v>249</v>
      </c>
    </row>
    <row r="430" spans="1:8" x14ac:dyDescent="0.3">
      <c r="A430">
        <v>2022</v>
      </c>
      <c r="B430" t="s">
        <v>24</v>
      </c>
      <c r="C430" t="s">
        <v>12</v>
      </c>
      <c r="D430" t="s">
        <v>108</v>
      </c>
      <c r="E430" t="s">
        <v>236</v>
      </c>
      <c r="F430">
        <v>185506.72</v>
      </c>
      <c r="G430">
        <v>930</v>
      </c>
      <c r="H430">
        <v>563</v>
      </c>
    </row>
    <row r="431" spans="1:8" x14ac:dyDescent="0.3">
      <c r="A431">
        <v>2022</v>
      </c>
      <c r="B431" t="s">
        <v>19</v>
      </c>
      <c r="C431" t="s">
        <v>8</v>
      </c>
      <c r="D431" t="s">
        <v>69</v>
      </c>
      <c r="E431" t="s">
        <v>236</v>
      </c>
      <c r="F431">
        <v>185506.72</v>
      </c>
      <c r="G431">
        <v>413</v>
      </c>
      <c r="H431">
        <v>930</v>
      </c>
    </row>
    <row r="432" spans="1:8" x14ac:dyDescent="0.3">
      <c r="A432">
        <v>2022</v>
      </c>
      <c r="B432" t="s">
        <v>24</v>
      </c>
      <c r="C432" t="s">
        <v>12</v>
      </c>
      <c r="D432" t="s">
        <v>179</v>
      </c>
      <c r="E432" t="s">
        <v>236</v>
      </c>
      <c r="F432">
        <v>185506.72</v>
      </c>
      <c r="G432">
        <v>930</v>
      </c>
      <c r="H432">
        <v>563</v>
      </c>
    </row>
    <row r="433" spans="1:8" x14ac:dyDescent="0.3">
      <c r="A433">
        <v>2022</v>
      </c>
      <c r="B433" t="s">
        <v>19</v>
      </c>
      <c r="C433" t="s">
        <v>8</v>
      </c>
      <c r="D433" t="s">
        <v>44</v>
      </c>
      <c r="E433" t="s">
        <v>236</v>
      </c>
      <c r="F433">
        <v>185506.72</v>
      </c>
      <c r="G433">
        <v>287</v>
      </c>
      <c r="H433">
        <v>744</v>
      </c>
    </row>
    <row r="434" spans="1:8" x14ac:dyDescent="0.3">
      <c r="A434">
        <v>2022</v>
      </c>
      <c r="B434" t="s">
        <v>26</v>
      </c>
      <c r="C434" t="s">
        <v>8</v>
      </c>
      <c r="D434" t="s">
        <v>45</v>
      </c>
      <c r="E434" t="s">
        <v>230</v>
      </c>
      <c r="F434">
        <v>185514.56</v>
      </c>
      <c r="G434">
        <v>749</v>
      </c>
      <c r="H434">
        <v>648</v>
      </c>
    </row>
    <row r="435" spans="1:8" x14ac:dyDescent="0.3">
      <c r="A435">
        <v>2022</v>
      </c>
      <c r="B435" t="s">
        <v>19</v>
      </c>
      <c r="C435" t="s">
        <v>8</v>
      </c>
      <c r="D435" t="s">
        <v>46</v>
      </c>
      <c r="E435" t="s">
        <v>234</v>
      </c>
      <c r="F435">
        <v>186455.36</v>
      </c>
      <c r="G435">
        <v>872</v>
      </c>
      <c r="H435">
        <v>249</v>
      </c>
    </row>
    <row r="436" spans="1:8" x14ac:dyDescent="0.3">
      <c r="A436">
        <v>2022</v>
      </c>
      <c r="B436" t="s">
        <v>25</v>
      </c>
      <c r="C436" t="s">
        <v>13</v>
      </c>
      <c r="D436" t="s">
        <v>48</v>
      </c>
      <c r="E436" t="s">
        <v>231</v>
      </c>
      <c r="F436">
        <v>199691.51999999999</v>
      </c>
      <c r="G436">
        <v>839</v>
      </c>
      <c r="H436">
        <v>334</v>
      </c>
    </row>
    <row r="437" spans="1:8" x14ac:dyDescent="0.3">
      <c r="A437">
        <v>2022</v>
      </c>
      <c r="B437" t="s">
        <v>22</v>
      </c>
      <c r="C437" t="s">
        <v>9</v>
      </c>
      <c r="D437" t="s">
        <v>49</v>
      </c>
      <c r="E437" t="s">
        <v>230</v>
      </c>
      <c r="F437">
        <v>204794.23999999999</v>
      </c>
      <c r="G437">
        <v>312</v>
      </c>
      <c r="H437">
        <v>983</v>
      </c>
    </row>
    <row r="438" spans="1:8" x14ac:dyDescent="0.3">
      <c r="A438">
        <v>2022</v>
      </c>
      <c r="B438" t="s">
        <v>22</v>
      </c>
      <c r="C438" t="s">
        <v>8</v>
      </c>
      <c r="D438" t="s">
        <v>50</v>
      </c>
      <c r="E438" t="s">
        <v>234</v>
      </c>
      <c r="F438">
        <v>206253.6</v>
      </c>
      <c r="G438">
        <v>784</v>
      </c>
      <c r="H438">
        <v>540</v>
      </c>
    </row>
    <row r="439" spans="1:8" x14ac:dyDescent="0.3">
      <c r="A439">
        <v>2022</v>
      </c>
      <c r="B439" t="s">
        <v>19</v>
      </c>
      <c r="C439" t="s">
        <v>8</v>
      </c>
      <c r="D439" t="s">
        <v>192</v>
      </c>
      <c r="E439" t="s">
        <v>230</v>
      </c>
      <c r="F439">
        <v>209059.20000000001</v>
      </c>
      <c r="G439">
        <v>784</v>
      </c>
      <c r="H439">
        <v>540</v>
      </c>
    </row>
    <row r="440" spans="1:8" x14ac:dyDescent="0.3">
      <c r="A440">
        <v>2022</v>
      </c>
      <c r="B440" t="s">
        <v>21</v>
      </c>
      <c r="C440" t="s">
        <v>9</v>
      </c>
      <c r="D440" t="s">
        <v>52</v>
      </c>
      <c r="E440" t="s">
        <v>234</v>
      </c>
      <c r="F440">
        <v>210140</v>
      </c>
      <c r="G440">
        <v>597</v>
      </c>
      <c r="H440">
        <v>287</v>
      </c>
    </row>
    <row r="441" spans="1:8" x14ac:dyDescent="0.3">
      <c r="A441">
        <v>2022</v>
      </c>
      <c r="B441" t="s">
        <v>24</v>
      </c>
      <c r="C441" t="s">
        <v>8</v>
      </c>
      <c r="D441" t="s">
        <v>53</v>
      </c>
      <c r="E441" t="s">
        <v>232</v>
      </c>
      <c r="F441">
        <v>218204</v>
      </c>
      <c r="G441">
        <v>610</v>
      </c>
      <c r="H441">
        <v>970</v>
      </c>
    </row>
    <row r="442" spans="1:8" x14ac:dyDescent="0.3">
      <c r="A442">
        <v>2022</v>
      </c>
      <c r="B442" t="s">
        <v>26</v>
      </c>
      <c r="C442" t="s">
        <v>8</v>
      </c>
      <c r="D442" t="s">
        <v>56</v>
      </c>
      <c r="E442" t="s">
        <v>234</v>
      </c>
      <c r="F442">
        <v>225676.64</v>
      </c>
      <c r="G442">
        <v>597</v>
      </c>
      <c r="H442">
        <v>287</v>
      </c>
    </row>
    <row r="443" spans="1:8" x14ac:dyDescent="0.3">
      <c r="A443">
        <v>2022</v>
      </c>
      <c r="B443" t="s">
        <v>20</v>
      </c>
      <c r="C443" t="s">
        <v>8</v>
      </c>
      <c r="D443" t="s">
        <v>185</v>
      </c>
      <c r="E443" t="s">
        <v>231</v>
      </c>
      <c r="F443">
        <v>226497.6</v>
      </c>
      <c r="G443">
        <v>795</v>
      </c>
      <c r="H443">
        <v>469</v>
      </c>
    </row>
    <row r="444" spans="1:8" x14ac:dyDescent="0.3">
      <c r="A444">
        <v>2022</v>
      </c>
      <c r="B444" t="s">
        <v>26</v>
      </c>
      <c r="C444" t="s">
        <v>8</v>
      </c>
      <c r="D444" t="s">
        <v>57</v>
      </c>
      <c r="E444" t="s">
        <v>230</v>
      </c>
      <c r="F444">
        <v>230400.8</v>
      </c>
      <c r="G444">
        <v>839</v>
      </c>
      <c r="H444">
        <v>983</v>
      </c>
    </row>
    <row r="445" spans="1:8" x14ac:dyDescent="0.3">
      <c r="A445">
        <v>2022</v>
      </c>
      <c r="B445" t="s">
        <v>21</v>
      </c>
      <c r="C445" t="s">
        <v>8</v>
      </c>
      <c r="D445" t="s">
        <v>58</v>
      </c>
      <c r="E445" t="s">
        <v>230</v>
      </c>
      <c r="F445">
        <v>234766.56</v>
      </c>
      <c r="G445">
        <v>839</v>
      </c>
      <c r="H445">
        <v>983</v>
      </c>
    </row>
    <row r="446" spans="1:8" x14ac:dyDescent="0.3">
      <c r="A446">
        <v>2022</v>
      </c>
      <c r="B446" t="s">
        <v>26</v>
      </c>
      <c r="C446" t="s">
        <v>14</v>
      </c>
      <c r="D446" t="s">
        <v>59</v>
      </c>
      <c r="E446" t="s">
        <v>234</v>
      </c>
      <c r="F446">
        <v>238955.36</v>
      </c>
      <c r="G446">
        <v>749</v>
      </c>
      <c r="H446">
        <v>648</v>
      </c>
    </row>
    <row r="447" spans="1:8" x14ac:dyDescent="0.3">
      <c r="A447">
        <v>2022</v>
      </c>
      <c r="B447" t="s">
        <v>19</v>
      </c>
      <c r="C447" t="s">
        <v>8</v>
      </c>
      <c r="D447" t="s">
        <v>60</v>
      </c>
      <c r="E447" t="s">
        <v>231</v>
      </c>
      <c r="F447">
        <v>249211.2</v>
      </c>
      <c r="G447">
        <v>403</v>
      </c>
      <c r="H447">
        <v>953</v>
      </c>
    </row>
    <row r="448" spans="1:8" x14ac:dyDescent="0.3">
      <c r="A448">
        <v>2022</v>
      </c>
      <c r="B448" t="s">
        <v>22</v>
      </c>
      <c r="C448" t="s">
        <v>8</v>
      </c>
      <c r="D448" t="s">
        <v>62</v>
      </c>
      <c r="E448" t="s">
        <v>234</v>
      </c>
      <c r="F448">
        <v>255250.24</v>
      </c>
      <c r="G448">
        <v>784</v>
      </c>
      <c r="H448">
        <v>540</v>
      </c>
    </row>
    <row r="449" spans="1:8" x14ac:dyDescent="0.3">
      <c r="A449">
        <v>2022</v>
      </c>
      <c r="B449" t="s">
        <v>23</v>
      </c>
      <c r="C449" t="s">
        <v>8</v>
      </c>
      <c r="D449" t="s">
        <v>63</v>
      </c>
      <c r="E449" t="s">
        <v>231</v>
      </c>
      <c r="F449">
        <v>263220.15999999997</v>
      </c>
      <c r="G449">
        <v>784</v>
      </c>
      <c r="H449">
        <v>540</v>
      </c>
    </row>
    <row r="450" spans="1:8" x14ac:dyDescent="0.3">
      <c r="A450">
        <v>2022</v>
      </c>
      <c r="B450" t="s">
        <v>18</v>
      </c>
      <c r="C450" t="s">
        <v>11</v>
      </c>
      <c r="D450" t="s">
        <v>64</v>
      </c>
      <c r="E450" t="s">
        <v>229</v>
      </c>
      <c r="F450">
        <v>266508.48</v>
      </c>
      <c r="G450">
        <v>839</v>
      </c>
      <c r="H450">
        <v>983</v>
      </c>
    </row>
    <row r="451" spans="1:8" x14ac:dyDescent="0.3">
      <c r="A451">
        <v>2022</v>
      </c>
      <c r="B451" t="s">
        <v>24</v>
      </c>
      <c r="C451" t="s">
        <v>8</v>
      </c>
      <c r="D451" t="s">
        <v>65</v>
      </c>
      <c r="E451" t="s">
        <v>232</v>
      </c>
      <c r="F451">
        <v>268141.44</v>
      </c>
      <c r="G451">
        <v>610</v>
      </c>
      <c r="H451">
        <v>970</v>
      </c>
    </row>
    <row r="452" spans="1:8" x14ac:dyDescent="0.3">
      <c r="A452">
        <v>2022</v>
      </c>
      <c r="B452" t="s">
        <v>24</v>
      </c>
      <c r="C452" t="s">
        <v>8</v>
      </c>
      <c r="D452" t="s">
        <v>66</v>
      </c>
      <c r="E452" t="s">
        <v>235</v>
      </c>
      <c r="F452">
        <v>275319.52</v>
      </c>
      <c r="G452">
        <v>692</v>
      </c>
      <c r="H452">
        <v>300</v>
      </c>
    </row>
    <row r="453" spans="1:8" x14ac:dyDescent="0.3">
      <c r="A453">
        <v>2022</v>
      </c>
      <c r="B453" t="s">
        <v>25</v>
      </c>
      <c r="C453" t="s">
        <v>10</v>
      </c>
      <c r="D453" t="s">
        <v>67</v>
      </c>
      <c r="E453" t="s">
        <v>233</v>
      </c>
      <c r="F453">
        <v>275480.8</v>
      </c>
      <c r="G453">
        <v>210</v>
      </c>
      <c r="H453">
        <v>177</v>
      </c>
    </row>
    <row r="454" spans="1:8" x14ac:dyDescent="0.3">
      <c r="A454">
        <v>2022</v>
      </c>
      <c r="B454" t="s">
        <v>25</v>
      </c>
      <c r="C454" t="s">
        <v>13</v>
      </c>
      <c r="D454" t="s">
        <v>68</v>
      </c>
      <c r="E454" t="s">
        <v>231</v>
      </c>
      <c r="F454">
        <v>275794.40000000002</v>
      </c>
      <c r="G454">
        <v>839</v>
      </c>
      <c r="H454">
        <v>334</v>
      </c>
    </row>
    <row r="455" spans="1:8" x14ac:dyDescent="0.3">
      <c r="A455">
        <v>2022</v>
      </c>
      <c r="B455" t="s">
        <v>19</v>
      </c>
      <c r="C455" t="s">
        <v>8</v>
      </c>
      <c r="D455" t="s">
        <v>71</v>
      </c>
      <c r="E455" t="s">
        <v>234</v>
      </c>
      <c r="F455">
        <v>304622.08000000002</v>
      </c>
      <c r="G455">
        <v>872</v>
      </c>
      <c r="H455">
        <v>249</v>
      </c>
    </row>
    <row r="456" spans="1:8" x14ac:dyDescent="0.3">
      <c r="A456">
        <v>2022</v>
      </c>
      <c r="B456" t="s">
        <v>27</v>
      </c>
      <c r="C456" t="s">
        <v>8</v>
      </c>
      <c r="D456" t="s">
        <v>84</v>
      </c>
      <c r="E456" t="s">
        <v>229</v>
      </c>
      <c r="F456">
        <v>304622.08000000002</v>
      </c>
      <c r="G456">
        <v>930</v>
      </c>
      <c r="H456">
        <v>563</v>
      </c>
    </row>
    <row r="457" spans="1:8" x14ac:dyDescent="0.3">
      <c r="A457">
        <v>2022</v>
      </c>
      <c r="B457" t="s">
        <v>27</v>
      </c>
      <c r="C457" t="s">
        <v>8</v>
      </c>
      <c r="D457" t="s">
        <v>193</v>
      </c>
      <c r="E457" t="s">
        <v>234</v>
      </c>
      <c r="F457">
        <v>306653.76</v>
      </c>
      <c r="G457">
        <v>692</v>
      </c>
      <c r="H457">
        <v>300</v>
      </c>
    </row>
    <row r="458" spans="1:8" x14ac:dyDescent="0.3">
      <c r="A458">
        <v>2022</v>
      </c>
      <c r="B458" t="s">
        <v>25</v>
      </c>
      <c r="C458" t="s">
        <v>8</v>
      </c>
      <c r="D458" t="s">
        <v>216</v>
      </c>
      <c r="E458" t="s">
        <v>235</v>
      </c>
      <c r="F458">
        <v>306653.76</v>
      </c>
      <c r="G458">
        <v>403</v>
      </c>
      <c r="H458">
        <v>953</v>
      </c>
    </row>
    <row r="459" spans="1:8" x14ac:dyDescent="0.3">
      <c r="A459">
        <v>2022</v>
      </c>
      <c r="B459" t="s">
        <v>24</v>
      </c>
      <c r="C459" t="s">
        <v>8</v>
      </c>
      <c r="D459" t="s">
        <v>74</v>
      </c>
      <c r="E459" t="s">
        <v>232</v>
      </c>
      <c r="F459">
        <v>320014.24</v>
      </c>
      <c r="G459">
        <v>610</v>
      </c>
      <c r="H459">
        <v>970</v>
      </c>
    </row>
    <row r="460" spans="1:8" x14ac:dyDescent="0.3">
      <c r="A460">
        <v>2022</v>
      </c>
      <c r="B460" t="s">
        <v>25</v>
      </c>
      <c r="C460" t="s">
        <v>8</v>
      </c>
      <c r="D460" t="s">
        <v>77</v>
      </c>
      <c r="E460" t="s">
        <v>229</v>
      </c>
      <c r="F460">
        <v>349305.59999999998</v>
      </c>
      <c r="G460">
        <v>413</v>
      </c>
      <c r="H460">
        <v>930</v>
      </c>
    </row>
    <row r="461" spans="1:8" x14ac:dyDescent="0.3">
      <c r="A461">
        <v>2022</v>
      </c>
      <c r="B461" t="s">
        <v>20</v>
      </c>
      <c r="C461" t="s">
        <v>8</v>
      </c>
      <c r="D461" t="s">
        <v>28</v>
      </c>
      <c r="E461" t="s">
        <v>231</v>
      </c>
      <c r="F461">
        <v>349305.59999999998</v>
      </c>
      <c r="G461">
        <v>784</v>
      </c>
      <c r="H461">
        <v>540</v>
      </c>
    </row>
    <row r="462" spans="1:8" x14ac:dyDescent="0.3">
      <c r="A462">
        <v>2022</v>
      </c>
      <c r="B462" t="s">
        <v>23</v>
      </c>
      <c r="C462" t="s">
        <v>8</v>
      </c>
      <c r="D462" t="s">
        <v>78</v>
      </c>
      <c r="E462" t="s">
        <v>232</v>
      </c>
      <c r="F462">
        <v>352427.04</v>
      </c>
      <c r="G462">
        <v>568</v>
      </c>
      <c r="H462">
        <v>505</v>
      </c>
    </row>
    <row r="463" spans="1:8" x14ac:dyDescent="0.3">
      <c r="A463">
        <v>2022</v>
      </c>
      <c r="B463" t="s">
        <v>25</v>
      </c>
      <c r="C463" t="s">
        <v>8</v>
      </c>
      <c r="D463" t="s">
        <v>79</v>
      </c>
      <c r="E463" t="s">
        <v>229</v>
      </c>
      <c r="F463">
        <v>356908.16</v>
      </c>
      <c r="G463">
        <v>413</v>
      </c>
      <c r="H463">
        <v>930</v>
      </c>
    </row>
    <row r="464" spans="1:8" x14ac:dyDescent="0.3">
      <c r="A464">
        <v>2022</v>
      </c>
      <c r="B464" t="s">
        <v>18</v>
      </c>
      <c r="C464" t="s">
        <v>8</v>
      </c>
      <c r="D464" t="s">
        <v>80</v>
      </c>
      <c r="E464" t="s">
        <v>232</v>
      </c>
      <c r="F464">
        <v>366458.4</v>
      </c>
      <c r="G464">
        <v>287</v>
      </c>
      <c r="H464">
        <v>744</v>
      </c>
    </row>
    <row r="465" spans="1:8" x14ac:dyDescent="0.3">
      <c r="A465">
        <v>2022</v>
      </c>
      <c r="B465" t="s">
        <v>27</v>
      </c>
      <c r="C465" t="s">
        <v>8</v>
      </c>
      <c r="D465" t="s">
        <v>81</v>
      </c>
      <c r="E465" t="s">
        <v>229</v>
      </c>
      <c r="F465">
        <v>367728.48</v>
      </c>
      <c r="G465">
        <v>930</v>
      </c>
      <c r="H465">
        <v>563</v>
      </c>
    </row>
    <row r="466" spans="1:8" x14ac:dyDescent="0.3">
      <c r="A466">
        <v>2022</v>
      </c>
      <c r="B466" t="s">
        <v>27</v>
      </c>
      <c r="C466" t="s">
        <v>8</v>
      </c>
      <c r="D466" t="s">
        <v>187</v>
      </c>
      <c r="E466" t="s">
        <v>232</v>
      </c>
      <c r="F466">
        <v>371189.28</v>
      </c>
      <c r="G466">
        <v>749</v>
      </c>
      <c r="H466">
        <v>648</v>
      </c>
    </row>
    <row r="467" spans="1:8" x14ac:dyDescent="0.3">
      <c r="A467">
        <v>2022</v>
      </c>
      <c r="B467" t="s">
        <v>20</v>
      </c>
      <c r="C467" t="s">
        <v>8</v>
      </c>
      <c r="D467" t="s">
        <v>83</v>
      </c>
      <c r="E467" t="s">
        <v>230</v>
      </c>
      <c r="F467">
        <v>371324.8</v>
      </c>
      <c r="G467">
        <v>795</v>
      </c>
      <c r="H467">
        <v>469</v>
      </c>
    </row>
    <row r="468" spans="1:8" x14ac:dyDescent="0.3">
      <c r="A468">
        <v>2022</v>
      </c>
      <c r="B468" t="s">
        <v>25</v>
      </c>
      <c r="C468" t="s">
        <v>8</v>
      </c>
      <c r="D468" t="s">
        <v>167</v>
      </c>
      <c r="E468" t="s">
        <v>232</v>
      </c>
      <c r="F468">
        <v>390192.32</v>
      </c>
      <c r="G468">
        <v>968</v>
      </c>
      <c r="H468">
        <v>330</v>
      </c>
    </row>
    <row r="469" spans="1:8" x14ac:dyDescent="0.3">
      <c r="A469">
        <v>2022</v>
      </c>
      <c r="B469" t="s">
        <v>24</v>
      </c>
      <c r="C469" t="s">
        <v>8</v>
      </c>
      <c r="D469" t="s">
        <v>85</v>
      </c>
      <c r="E469" t="s">
        <v>235</v>
      </c>
      <c r="F469">
        <v>390192.32</v>
      </c>
      <c r="G469">
        <v>784</v>
      </c>
      <c r="H469">
        <v>540</v>
      </c>
    </row>
    <row r="470" spans="1:8" x14ac:dyDescent="0.3">
      <c r="A470">
        <v>2022</v>
      </c>
      <c r="B470" t="s">
        <v>26</v>
      </c>
      <c r="C470" t="s">
        <v>8</v>
      </c>
      <c r="D470" t="s">
        <v>86</v>
      </c>
      <c r="E470" t="s">
        <v>234</v>
      </c>
      <c r="F470">
        <v>395730.72</v>
      </c>
      <c r="G470">
        <v>610</v>
      </c>
      <c r="H470">
        <v>970</v>
      </c>
    </row>
    <row r="471" spans="1:8" x14ac:dyDescent="0.3">
      <c r="A471">
        <v>2022</v>
      </c>
      <c r="B471" t="s">
        <v>19</v>
      </c>
      <c r="C471" t="s">
        <v>8</v>
      </c>
      <c r="D471" t="s">
        <v>209</v>
      </c>
      <c r="E471" t="s">
        <v>230</v>
      </c>
      <c r="F471">
        <v>396397.12</v>
      </c>
      <c r="G471">
        <v>872</v>
      </c>
      <c r="H471">
        <v>249</v>
      </c>
    </row>
    <row r="472" spans="1:8" x14ac:dyDescent="0.3">
      <c r="A472">
        <v>2022</v>
      </c>
      <c r="B472" t="s">
        <v>21</v>
      </c>
      <c r="C472" t="s">
        <v>8</v>
      </c>
      <c r="D472" t="s">
        <v>194</v>
      </c>
      <c r="E472" t="s">
        <v>235</v>
      </c>
      <c r="F472">
        <v>396397.12</v>
      </c>
      <c r="G472">
        <v>597</v>
      </c>
      <c r="H472">
        <v>287</v>
      </c>
    </row>
    <row r="473" spans="1:8" x14ac:dyDescent="0.3">
      <c r="A473">
        <v>2022</v>
      </c>
      <c r="B473" t="s">
        <v>23</v>
      </c>
      <c r="C473" t="s">
        <v>8</v>
      </c>
      <c r="D473" t="s">
        <v>87</v>
      </c>
      <c r="E473" t="s">
        <v>236</v>
      </c>
      <c r="F473">
        <v>396397.12</v>
      </c>
      <c r="G473">
        <v>168</v>
      </c>
      <c r="H473">
        <v>97</v>
      </c>
    </row>
    <row r="474" spans="1:8" x14ac:dyDescent="0.3">
      <c r="A474">
        <v>2022</v>
      </c>
      <c r="B474" t="s">
        <v>24</v>
      </c>
      <c r="C474" t="s">
        <v>8</v>
      </c>
      <c r="D474" t="s">
        <v>191</v>
      </c>
      <c r="E474" t="s">
        <v>229</v>
      </c>
      <c r="F474">
        <v>405587.83999999997</v>
      </c>
      <c r="G474">
        <v>312</v>
      </c>
      <c r="H474">
        <v>983</v>
      </c>
    </row>
    <row r="475" spans="1:8" x14ac:dyDescent="0.3">
      <c r="A475">
        <v>2022</v>
      </c>
      <c r="B475" t="s">
        <v>20</v>
      </c>
      <c r="C475" t="s">
        <v>8</v>
      </c>
      <c r="D475" t="s">
        <v>90</v>
      </c>
      <c r="E475" t="s">
        <v>230</v>
      </c>
      <c r="F475">
        <v>417552.8</v>
      </c>
      <c r="G475">
        <v>795</v>
      </c>
      <c r="H475">
        <v>469</v>
      </c>
    </row>
    <row r="476" spans="1:8" x14ac:dyDescent="0.3">
      <c r="A476">
        <v>2022</v>
      </c>
      <c r="B476" t="s">
        <v>23</v>
      </c>
      <c r="C476" t="s">
        <v>8</v>
      </c>
      <c r="D476" t="s">
        <v>88</v>
      </c>
      <c r="E476" t="s">
        <v>233</v>
      </c>
      <c r="F476">
        <v>429470.71999999997</v>
      </c>
      <c r="G476">
        <v>287</v>
      </c>
      <c r="H476">
        <v>744</v>
      </c>
    </row>
    <row r="477" spans="1:8" x14ac:dyDescent="0.3">
      <c r="A477">
        <v>2022</v>
      </c>
      <c r="B477" t="s">
        <v>25</v>
      </c>
      <c r="C477" t="s">
        <v>8</v>
      </c>
      <c r="D477" t="s">
        <v>55</v>
      </c>
      <c r="E477" t="s">
        <v>229</v>
      </c>
      <c r="F477">
        <v>437881.92</v>
      </c>
      <c r="G477">
        <v>413</v>
      </c>
      <c r="H477">
        <v>930</v>
      </c>
    </row>
    <row r="478" spans="1:8" x14ac:dyDescent="0.3">
      <c r="A478">
        <v>2022</v>
      </c>
      <c r="B478" t="s">
        <v>25</v>
      </c>
      <c r="C478" t="s">
        <v>13</v>
      </c>
      <c r="D478" t="s">
        <v>93</v>
      </c>
      <c r="E478" t="s">
        <v>231</v>
      </c>
      <c r="F478">
        <v>437881.92</v>
      </c>
      <c r="G478">
        <v>839</v>
      </c>
      <c r="H478">
        <v>334</v>
      </c>
    </row>
    <row r="479" spans="1:8" x14ac:dyDescent="0.3">
      <c r="A479">
        <v>2022</v>
      </c>
      <c r="B479" t="s">
        <v>24</v>
      </c>
      <c r="C479" t="s">
        <v>12</v>
      </c>
      <c r="D479" t="s">
        <v>94</v>
      </c>
      <c r="E479" t="s">
        <v>236</v>
      </c>
      <c r="F479">
        <v>439391.68</v>
      </c>
      <c r="G479">
        <v>930</v>
      </c>
      <c r="H479">
        <v>563</v>
      </c>
    </row>
    <row r="480" spans="1:8" x14ac:dyDescent="0.3">
      <c r="A480">
        <v>2022</v>
      </c>
      <c r="B480" t="s">
        <v>20</v>
      </c>
      <c r="C480" t="s">
        <v>8</v>
      </c>
      <c r="D480" t="s">
        <v>96</v>
      </c>
      <c r="E480" t="s">
        <v>230</v>
      </c>
      <c r="F480">
        <v>457304.96</v>
      </c>
      <c r="G480">
        <v>795</v>
      </c>
      <c r="H480">
        <v>469</v>
      </c>
    </row>
    <row r="481" spans="1:8" x14ac:dyDescent="0.3">
      <c r="A481">
        <v>2022</v>
      </c>
      <c r="B481" t="s">
        <v>20</v>
      </c>
      <c r="C481" t="s">
        <v>8</v>
      </c>
      <c r="D481" t="s">
        <v>97</v>
      </c>
      <c r="E481" t="s">
        <v>235</v>
      </c>
      <c r="F481">
        <v>461137.6</v>
      </c>
      <c r="G481">
        <v>287</v>
      </c>
      <c r="H481">
        <v>744</v>
      </c>
    </row>
    <row r="482" spans="1:8" x14ac:dyDescent="0.3">
      <c r="A482">
        <v>2022</v>
      </c>
      <c r="B482" t="s">
        <v>20</v>
      </c>
      <c r="C482" t="s">
        <v>8</v>
      </c>
      <c r="D482" t="s">
        <v>98</v>
      </c>
      <c r="E482" t="s">
        <v>231</v>
      </c>
      <c r="F482">
        <v>462946.4</v>
      </c>
      <c r="G482">
        <v>839</v>
      </c>
      <c r="H482">
        <v>334</v>
      </c>
    </row>
    <row r="483" spans="1:8" x14ac:dyDescent="0.3">
      <c r="A483">
        <v>2022</v>
      </c>
      <c r="B483" t="s">
        <v>21</v>
      </c>
      <c r="C483" t="s">
        <v>8</v>
      </c>
      <c r="D483" t="s">
        <v>204</v>
      </c>
      <c r="E483" t="s">
        <v>235</v>
      </c>
      <c r="F483">
        <v>466324.32</v>
      </c>
      <c r="G483">
        <v>968</v>
      </c>
      <c r="H483">
        <v>330</v>
      </c>
    </row>
    <row r="484" spans="1:8" x14ac:dyDescent="0.3">
      <c r="A484">
        <v>2022</v>
      </c>
      <c r="B484" t="s">
        <v>21</v>
      </c>
      <c r="C484" t="s">
        <v>9</v>
      </c>
      <c r="D484" t="s">
        <v>100</v>
      </c>
      <c r="E484" t="s">
        <v>234</v>
      </c>
      <c r="F484">
        <v>466947.04</v>
      </c>
      <c r="G484">
        <v>597</v>
      </c>
      <c r="H484">
        <v>287</v>
      </c>
    </row>
    <row r="485" spans="1:8" x14ac:dyDescent="0.3">
      <c r="A485">
        <v>2022</v>
      </c>
      <c r="B485" t="s">
        <v>20</v>
      </c>
      <c r="C485" t="s">
        <v>8</v>
      </c>
      <c r="D485" t="s">
        <v>152</v>
      </c>
      <c r="E485" t="s">
        <v>231</v>
      </c>
      <c r="F485">
        <v>466947.04</v>
      </c>
      <c r="G485">
        <v>872</v>
      </c>
      <c r="H485">
        <v>249</v>
      </c>
    </row>
    <row r="486" spans="1:8" x14ac:dyDescent="0.3">
      <c r="A486">
        <v>2022</v>
      </c>
      <c r="B486" t="s">
        <v>26</v>
      </c>
      <c r="C486" t="s">
        <v>14</v>
      </c>
      <c r="D486" t="s">
        <v>101</v>
      </c>
      <c r="E486" t="s">
        <v>234</v>
      </c>
      <c r="F486">
        <v>467300.96</v>
      </c>
      <c r="G486">
        <v>749</v>
      </c>
      <c r="H486">
        <v>648</v>
      </c>
    </row>
    <row r="487" spans="1:8" x14ac:dyDescent="0.3">
      <c r="A487">
        <v>2022</v>
      </c>
      <c r="B487" t="s">
        <v>19</v>
      </c>
      <c r="C487" t="s">
        <v>8</v>
      </c>
      <c r="D487" t="s">
        <v>95</v>
      </c>
      <c r="E487" t="s">
        <v>234</v>
      </c>
      <c r="F487">
        <v>472993.92</v>
      </c>
      <c r="G487">
        <v>872</v>
      </c>
      <c r="H487">
        <v>249</v>
      </c>
    </row>
    <row r="488" spans="1:8" x14ac:dyDescent="0.3">
      <c r="A488">
        <v>2022</v>
      </c>
      <c r="B488" t="s">
        <v>23</v>
      </c>
      <c r="C488" t="s">
        <v>8</v>
      </c>
      <c r="D488" t="s">
        <v>103</v>
      </c>
      <c r="E488" t="s">
        <v>228</v>
      </c>
      <c r="F488">
        <v>472993.92</v>
      </c>
      <c r="G488">
        <v>577</v>
      </c>
      <c r="H488">
        <v>175</v>
      </c>
    </row>
    <row r="489" spans="1:8" x14ac:dyDescent="0.3">
      <c r="A489">
        <v>2022</v>
      </c>
      <c r="B489" t="s">
        <v>21</v>
      </c>
      <c r="C489" t="s">
        <v>8</v>
      </c>
      <c r="D489" t="s">
        <v>174</v>
      </c>
      <c r="E489" t="s">
        <v>228</v>
      </c>
      <c r="F489">
        <v>472993.92</v>
      </c>
      <c r="G489">
        <v>872</v>
      </c>
      <c r="H489">
        <v>249</v>
      </c>
    </row>
    <row r="490" spans="1:8" x14ac:dyDescent="0.3">
      <c r="A490">
        <v>2022</v>
      </c>
      <c r="B490" t="s">
        <v>23</v>
      </c>
      <c r="C490" t="s">
        <v>8</v>
      </c>
      <c r="D490" t="s">
        <v>92</v>
      </c>
      <c r="E490" t="s">
        <v>228</v>
      </c>
      <c r="F490">
        <v>472993.92</v>
      </c>
      <c r="G490">
        <v>577</v>
      </c>
      <c r="H490">
        <v>175</v>
      </c>
    </row>
    <row r="491" spans="1:8" x14ac:dyDescent="0.3">
      <c r="A491">
        <v>2022</v>
      </c>
      <c r="B491" t="s">
        <v>20</v>
      </c>
      <c r="C491" t="s">
        <v>8</v>
      </c>
      <c r="D491" t="s">
        <v>225</v>
      </c>
      <c r="E491" t="s">
        <v>228</v>
      </c>
      <c r="F491">
        <v>472993.92</v>
      </c>
      <c r="G491">
        <v>93</v>
      </c>
      <c r="H491">
        <v>852</v>
      </c>
    </row>
    <row r="492" spans="1:8" x14ac:dyDescent="0.3">
      <c r="A492">
        <v>2022</v>
      </c>
      <c r="B492" t="s">
        <v>21</v>
      </c>
      <c r="C492" t="s">
        <v>8</v>
      </c>
      <c r="D492" t="s">
        <v>34</v>
      </c>
      <c r="E492" t="s">
        <v>228</v>
      </c>
      <c r="F492">
        <v>472993.92</v>
      </c>
      <c r="G492">
        <v>403</v>
      </c>
      <c r="H492">
        <v>953</v>
      </c>
    </row>
    <row r="493" spans="1:8" x14ac:dyDescent="0.3">
      <c r="A493">
        <v>2022</v>
      </c>
      <c r="B493" t="s">
        <v>21</v>
      </c>
      <c r="C493" t="s">
        <v>8</v>
      </c>
      <c r="D493" t="s">
        <v>177</v>
      </c>
      <c r="E493" t="s">
        <v>228</v>
      </c>
      <c r="F493">
        <v>472993.92</v>
      </c>
      <c r="G493">
        <v>968</v>
      </c>
      <c r="H493">
        <v>330</v>
      </c>
    </row>
    <row r="494" spans="1:8" x14ac:dyDescent="0.3">
      <c r="A494">
        <v>2022</v>
      </c>
      <c r="B494" t="s">
        <v>21</v>
      </c>
      <c r="C494" t="s">
        <v>8</v>
      </c>
      <c r="D494" t="s">
        <v>76</v>
      </c>
      <c r="E494" t="s">
        <v>228</v>
      </c>
      <c r="F494">
        <v>472993.92</v>
      </c>
      <c r="G494">
        <v>610</v>
      </c>
      <c r="H494">
        <v>970</v>
      </c>
    </row>
    <row r="495" spans="1:8" x14ac:dyDescent="0.3">
      <c r="A495">
        <v>2022</v>
      </c>
      <c r="B495" t="s">
        <v>21</v>
      </c>
      <c r="C495" t="s">
        <v>8</v>
      </c>
      <c r="D495" t="s">
        <v>30</v>
      </c>
      <c r="E495" t="s">
        <v>228</v>
      </c>
      <c r="F495">
        <v>472993.92</v>
      </c>
      <c r="G495">
        <v>968</v>
      </c>
      <c r="H495">
        <v>330</v>
      </c>
    </row>
    <row r="496" spans="1:8" x14ac:dyDescent="0.3">
      <c r="A496">
        <v>2022</v>
      </c>
      <c r="B496" t="s">
        <v>21</v>
      </c>
      <c r="C496" t="s">
        <v>8</v>
      </c>
      <c r="D496" t="s">
        <v>143</v>
      </c>
      <c r="E496" t="s">
        <v>228</v>
      </c>
      <c r="F496">
        <v>472993.92</v>
      </c>
      <c r="G496">
        <v>930</v>
      </c>
      <c r="H496">
        <v>563</v>
      </c>
    </row>
    <row r="497" spans="1:8" x14ac:dyDescent="0.3">
      <c r="A497">
        <v>2022</v>
      </c>
      <c r="B497" t="s">
        <v>22</v>
      </c>
      <c r="C497" t="s">
        <v>8</v>
      </c>
      <c r="D497" t="s">
        <v>183</v>
      </c>
      <c r="E497" t="s">
        <v>228</v>
      </c>
      <c r="F497">
        <v>472993.92</v>
      </c>
      <c r="G497">
        <v>403</v>
      </c>
      <c r="H497">
        <v>953</v>
      </c>
    </row>
    <row r="498" spans="1:8" x14ac:dyDescent="0.3">
      <c r="A498">
        <v>2022</v>
      </c>
      <c r="B498" t="s">
        <v>21</v>
      </c>
      <c r="C498" t="s">
        <v>8</v>
      </c>
      <c r="D498" t="s">
        <v>70</v>
      </c>
      <c r="E498" t="s">
        <v>228</v>
      </c>
      <c r="F498">
        <v>472993.92</v>
      </c>
      <c r="G498">
        <v>784</v>
      </c>
      <c r="H498">
        <v>540</v>
      </c>
    </row>
    <row r="499" spans="1:8" x14ac:dyDescent="0.3">
      <c r="A499">
        <v>2022</v>
      </c>
      <c r="B499" t="s">
        <v>22</v>
      </c>
      <c r="C499" t="s">
        <v>8</v>
      </c>
      <c r="D499" t="s">
        <v>73</v>
      </c>
      <c r="E499" t="s">
        <v>228</v>
      </c>
      <c r="F499">
        <v>472993.92</v>
      </c>
      <c r="G499">
        <v>168</v>
      </c>
      <c r="H499">
        <v>97</v>
      </c>
    </row>
    <row r="500" spans="1:8" x14ac:dyDescent="0.3">
      <c r="A500">
        <v>2022</v>
      </c>
      <c r="B500" t="s">
        <v>20</v>
      </c>
      <c r="C500" t="s">
        <v>8</v>
      </c>
      <c r="D500" t="s">
        <v>164</v>
      </c>
      <c r="E500" t="s">
        <v>228</v>
      </c>
      <c r="F500">
        <v>472993.92</v>
      </c>
      <c r="G500">
        <v>403</v>
      </c>
      <c r="H500">
        <v>953</v>
      </c>
    </row>
    <row r="501" spans="1:8" x14ac:dyDescent="0.3">
      <c r="A501">
        <v>2022</v>
      </c>
      <c r="B501" t="s">
        <v>23</v>
      </c>
      <c r="C501" t="s">
        <v>8</v>
      </c>
      <c r="D501" t="s">
        <v>153</v>
      </c>
      <c r="E501" t="s">
        <v>228</v>
      </c>
      <c r="F501">
        <v>472993.92</v>
      </c>
      <c r="G501">
        <v>577</v>
      </c>
      <c r="H501">
        <v>175</v>
      </c>
    </row>
    <row r="502" spans="1:8" x14ac:dyDescent="0.3">
      <c r="A502">
        <v>2022</v>
      </c>
      <c r="B502" t="s">
        <v>20</v>
      </c>
      <c r="C502" t="s">
        <v>8</v>
      </c>
      <c r="D502" t="s">
        <v>211</v>
      </c>
      <c r="E502" t="s">
        <v>228</v>
      </c>
      <c r="F502">
        <v>472993.92</v>
      </c>
      <c r="G502">
        <v>784</v>
      </c>
      <c r="H502">
        <v>540</v>
      </c>
    </row>
    <row r="503" spans="1:8" x14ac:dyDescent="0.3">
      <c r="A503">
        <v>2022</v>
      </c>
      <c r="B503" t="s">
        <v>21</v>
      </c>
      <c r="C503" t="s">
        <v>8</v>
      </c>
      <c r="D503" t="s">
        <v>61</v>
      </c>
      <c r="E503" t="s">
        <v>228</v>
      </c>
      <c r="F503">
        <v>472993.92</v>
      </c>
      <c r="G503">
        <v>413</v>
      </c>
      <c r="H503">
        <v>930</v>
      </c>
    </row>
    <row r="504" spans="1:8" x14ac:dyDescent="0.3">
      <c r="A504">
        <v>2022</v>
      </c>
      <c r="B504" t="s">
        <v>27</v>
      </c>
      <c r="C504" t="s">
        <v>8</v>
      </c>
      <c r="D504" t="s">
        <v>105</v>
      </c>
      <c r="E504" t="s">
        <v>229</v>
      </c>
      <c r="F504">
        <v>480165.28</v>
      </c>
      <c r="G504">
        <v>872</v>
      </c>
      <c r="H504">
        <v>249</v>
      </c>
    </row>
    <row r="505" spans="1:8" x14ac:dyDescent="0.3">
      <c r="A505">
        <v>2022</v>
      </c>
      <c r="B505" t="s">
        <v>23</v>
      </c>
      <c r="C505" t="s">
        <v>8</v>
      </c>
      <c r="D505" t="s">
        <v>213</v>
      </c>
      <c r="E505" t="s">
        <v>233</v>
      </c>
      <c r="F505">
        <v>482446.72</v>
      </c>
      <c r="G505">
        <v>692</v>
      </c>
      <c r="H505">
        <v>300</v>
      </c>
    </row>
    <row r="506" spans="1:8" x14ac:dyDescent="0.3">
      <c r="A506">
        <v>2022</v>
      </c>
      <c r="B506" t="s">
        <v>25</v>
      </c>
      <c r="C506" t="s">
        <v>8</v>
      </c>
      <c r="D506" t="s">
        <v>210</v>
      </c>
      <c r="E506" t="s">
        <v>234</v>
      </c>
      <c r="F506">
        <v>482446.72</v>
      </c>
      <c r="G506">
        <v>287</v>
      </c>
      <c r="H506">
        <v>744</v>
      </c>
    </row>
    <row r="507" spans="1:8" x14ac:dyDescent="0.3">
      <c r="A507">
        <v>2022</v>
      </c>
      <c r="B507" t="s">
        <v>21</v>
      </c>
      <c r="C507" t="s">
        <v>8</v>
      </c>
      <c r="D507" t="s">
        <v>107</v>
      </c>
      <c r="E507" t="s">
        <v>235</v>
      </c>
      <c r="F507">
        <v>482446.72</v>
      </c>
      <c r="G507">
        <v>577</v>
      </c>
      <c r="H507">
        <v>175</v>
      </c>
    </row>
    <row r="508" spans="1:8" x14ac:dyDescent="0.3">
      <c r="A508">
        <v>2022</v>
      </c>
      <c r="B508" t="s">
        <v>18</v>
      </c>
      <c r="C508" t="s">
        <v>8</v>
      </c>
      <c r="D508" t="s">
        <v>199</v>
      </c>
      <c r="E508" t="s">
        <v>229</v>
      </c>
      <c r="F508">
        <v>483679.83999999997</v>
      </c>
      <c r="G508">
        <v>930</v>
      </c>
      <c r="H508">
        <v>563</v>
      </c>
    </row>
    <row r="509" spans="1:8" x14ac:dyDescent="0.3">
      <c r="A509">
        <v>2022</v>
      </c>
      <c r="B509" t="s">
        <v>18</v>
      </c>
      <c r="C509" t="s">
        <v>8</v>
      </c>
      <c r="D509" t="s">
        <v>109</v>
      </c>
      <c r="E509" t="s">
        <v>232</v>
      </c>
      <c r="F509">
        <v>488034.4</v>
      </c>
      <c r="G509">
        <v>968</v>
      </c>
      <c r="H509">
        <v>330</v>
      </c>
    </row>
    <row r="510" spans="1:8" x14ac:dyDescent="0.3">
      <c r="A510">
        <v>2022</v>
      </c>
      <c r="B510" t="s">
        <v>19</v>
      </c>
      <c r="C510" t="s">
        <v>8</v>
      </c>
      <c r="D510" t="s">
        <v>110</v>
      </c>
      <c r="E510" t="s">
        <v>236</v>
      </c>
      <c r="F510">
        <v>491219.68</v>
      </c>
      <c r="G510">
        <v>210</v>
      </c>
      <c r="H510">
        <v>177</v>
      </c>
    </row>
    <row r="511" spans="1:8" x14ac:dyDescent="0.3">
      <c r="A511">
        <v>2022</v>
      </c>
      <c r="B511" t="s">
        <v>22</v>
      </c>
      <c r="C511" t="s">
        <v>8</v>
      </c>
      <c r="D511" t="s">
        <v>224</v>
      </c>
      <c r="E511" t="s">
        <v>230</v>
      </c>
      <c r="F511">
        <v>508671.52</v>
      </c>
      <c r="G511">
        <v>784</v>
      </c>
      <c r="H511">
        <v>540</v>
      </c>
    </row>
    <row r="512" spans="1:8" x14ac:dyDescent="0.3">
      <c r="A512">
        <v>2022</v>
      </c>
      <c r="B512" t="s">
        <v>19</v>
      </c>
      <c r="C512" t="s">
        <v>8</v>
      </c>
      <c r="D512" t="s">
        <v>112</v>
      </c>
      <c r="E512" t="s">
        <v>231</v>
      </c>
      <c r="F512">
        <v>513592.8</v>
      </c>
      <c r="G512">
        <v>403</v>
      </c>
      <c r="H512">
        <v>953</v>
      </c>
    </row>
    <row r="513" spans="1:8" x14ac:dyDescent="0.3">
      <c r="A513">
        <v>2022</v>
      </c>
      <c r="B513" t="s">
        <v>25</v>
      </c>
      <c r="C513" t="s">
        <v>8</v>
      </c>
      <c r="D513" t="s">
        <v>223</v>
      </c>
      <c r="E513" t="s">
        <v>231</v>
      </c>
      <c r="F513">
        <v>513714.88</v>
      </c>
      <c r="G513">
        <v>839</v>
      </c>
      <c r="H513">
        <v>334</v>
      </c>
    </row>
    <row r="514" spans="1:8" x14ac:dyDescent="0.3">
      <c r="A514">
        <v>2022</v>
      </c>
      <c r="B514" t="s">
        <v>21</v>
      </c>
      <c r="C514" t="s">
        <v>8</v>
      </c>
      <c r="D514" t="s">
        <v>114</v>
      </c>
      <c r="E514" t="s">
        <v>231</v>
      </c>
      <c r="F514">
        <v>513714.88</v>
      </c>
      <c r="G514">
        <v>930</v>
      </c>
      <c r="H514">
        <v>563</v>
      </c>
    </row>
    <row r="515" spans="1:8" x14ac:dyDescent="0.3">
      <c r="A515">
        <v>2022</v>
      </c>
      <c r="B515" t="s">
        <v>20</v>
      </c>
      <c r="C515" t="s">
        <v>8</v>
      </c>
      <c r="D515" t="s">
        <v>215</v>
      </c>
      <c r="E515" t="s">
        <v>236</v>
      </c>
      <c r="F515">
        <v>513714.88</v>
      </c>
      <c r="G515">
        <v>930</v>
      </c>
      <c r="H515">
        <v>563</v>
      </c>
    </row>
    <row r="516" spans="1:8" x14ac:dyDescent="0.3">
      <c r="A516">
        <v>2022</v>
      </c>
      <c r="B516" t="s">
        <v>25</v>
      </c>
      <c r="C516" t="s">
        <v>10</v>
      </c>
      <c r="D516" t="s">
        <v>115</v>
      </c>
      <c r="E516" t="s">
        <v>233</v>
      </c>
      <c r="F516">
        <v>521766.56</v>
      </c>
      <c r="G516">
        <v>210</v>
      </c>
      <c r="H516">
        <v>177</v>
      </c>
    </row>
    <row r="517" spans="1:8" x14ac:dyDescent="0.3">
      <c r="A517">
        <v>2022</v>
      </c>
      <c r="B517" t="s">
        <v>27</v>
      </c>
      <c r="C517" t="s">
        <v>8</v>
      </c>
      <c r="D517" t="s">
        <v>117</v>
      </c>
      <c r="E517" t="s">
        <v>231</v>
      </c>
      <c r="F517">
        <v>524849.92000000004</v>
      </c>
      <c r="G517">
        <v>692</v>
      </c>
      <c r="H517">
        <v>300</v>
      </c>
    </row>
    <row r="518" spans="1:8" x14ac:dyDescent="0.3">
      <c r="A518">
        <v>2022</v>
      </c>
      <c r="B518" t="s">
        <v>27</v>
      </c>
      <c r="C518" t="s">
        <v>8</v>
      </c>
      <c r="D518" t="s">
        <v>118</v>
      </c>
      <c r="E518" t="s">
        <v>231</v>
      </c>
      <c r="F518">
        <v>524939.52000000002</v>
      </c>
      <c r="G518">
        <v>692</v>
      </c>
      <c r="H518">
        <v>300</v>
      </c>
    </row>
    <row r="519" spans="1:8" x14ac:dyDescent="0.3">
      <c r="A519">
        <v>2022</v>
      </c>
      <c r="B519" t="s">
        <v>22</v>
      </c>
      <c r="C519" t="s">
        <v>9</v>
      </c>
      <c r="D519" t="s">
        <v>119</v>
      </c>
      <c r="E519" t="s">
        <v>230</v>
      </c>
      <c r="F519">
        <v>526794.23999999999</v>
      </c>
      <c r="G519">
        <v>312</v>
      </c>
      <c r="H519">
        <v>983</v>
      </c>
    </row>
    <row r="520" spans="1:8" x14ac:dyDescent="0.3">
      <c r="A520">
        <v>2022</v>
      </c>
      <c r="B520" t="s">
        <v>19</v>
      </c>
      <c r="C520" t="s">
        <v>8</v>
      </c>
      <c r="D520" t="s">
        <v>121</v>
      </c>
      <c r="E520" t="s">
        <v>234</v>
      </c>
      <c r="F520">
        <v>539590.24</v>
      </c>
      <c r="G520">
        <v>168</v>
      </c>
      <c r="H520">
        <v>97</v>
      </c>
    </row>
    <row r="521" spans="1:8" x14ac:dyDescent="0.3">
      <c r="A521">
        <v>2022</v>
      </c>
      <c r="B521" t="s">
        <v>27</v>
      </c>
      <c r="C521" t="s">
        <v>8</v>
      </c>
      <c r="D521" t="s">
        <v>122</v>
      </c>
      <c r="E521" t="s">
        <v>229</v>
      </c>
      <c r="F521">
        <v>552107.36</v>
      </c>
      <c r="G521">
        <v>839</v>
      </c>
      <c r="H521">
        <v>983</v>
      </c>
    </row>
    <row r="522" spans="1:8" x14ac:dyDescent="0.3">
      <c r="A522">
        <v>2022</v>
      </c>
      <c r="B522" t="s">
        <v>18</v>
      </c>
      <c r="C522" t="s">
        <v>8</v>
      </c>
      <c r="D522" t="s">
        <v>186</v>
      </c>
      <c r="E522" t="s">
        <v>229</v>
      </c>
      <c r="F522">
        <v>560104.16</v>
      </c>
      <c r="G522">
        <v>312</v>
      </c>
      <c r="H522">
        <v>983</v>
      </c>
    </row>
    <row r="523" spans="1:8" x14ac:dyDescent="0.3">
      <c r="A523">
        <v>2022</v>
      </c>
      <c r="B523" t="s">
        <v>20</v>
      </c>
      <c r="C523" t="s">
        <v>8</v>
      </c>
      <c r="D523" t="s">
        <v>125</v>
      </c>
      <c r="E523" t="s">
        <v>235</v>
      </c>
      <c r="F523">
        <v>563342.07999999996</v>
      </c>
      <c r="G523">
        <v>287</v>
      </c>
      <c r="H523">
        <v>744</v>
      </c>
    </row>
    <row r="524" spans="1:8" x14ac:dyDescent="0.3">
      <c r="A524">
        <v>2022</v>
      </c>
      <c r="B524" t="s">
        <v>23</v>
      </c>
      <c r="C524" t="s">
        <v>8</v>
      </c>
      <c r="D524" t="s">
        <v>126</v>
      </c>
      <c r="E524" t="s">
        <v>231</v>
      </c>
      <c r="F524">
        <v>566350.4</v>
      </c>
      <c r="G524">
        <v>568</v>
      </c>
      <c r="H524">
        <v>505</v>
      </c>
    </row>
    <row r="525" spans="1:8" x14ac:dyDescent="0.3">
      <c r="A525">
        <v>2022</v>
      </c>
      <c r="B525" t="s">
        <v>25</v>
      </c>
      <c r="C525" t="s">
        <v>8</v>
      </c>
      <c r="D525" t="s">
        <v>205</v>
      </c>
      <c r="E525" t="s">
        <v>235</v>
      </c>
      <c r="F525">
        <v>567481.59999999998</v>
      </c>
      <c r="G525">
        <v>568</v>
      </c>
      <c r="H525">
        <v>505</v>
      </c>
    </row>
    <row r="526" spans="1:8" x14ac:dyDescent="0.3">
      <c r="A526">
        <v>2022</v>
      </c>
      <c r="B526" t="s">
        <v>20</v>
      </c>
      <c r="C526" t="s">
        <v>8</v>
      </c>
      <c r="D526" t="s">
        <v>128</v>
      </c>
      <c r="E526" t="s">
        <v>231</v>
      </c>
      <c r="F526">
        <v>578538.23999999999</v>
      </c>
      <c r="G526">
        <v>839</v>
      </c>
      <c r="H526">
        <v>334</v>
      </c>
    </row>
    <row r="527" spans="1:8" x14ac:dyDescent="0.3">
      <c r="A527">
        <v>2022</v>
      </c>
      <c r="B527" t="s">
        <v>18</v>
      </c>
      <c r="C527" t="s">
        <v>11</v>
      </c>
      <c r="D527" t="s">
        <v>129</v>
      </c>
      <c r="E527" t="s">
        <v>229</v>
      </c>
      <c r="F527">
        <v>581692.16000000003</v>
      </c>
      <c r="G527">
        <v>839</v>
      </c>
      <c r="H527">
        <v>983</v>
      </c>
    </row>
    <row r="528" spans="1:8" x14ac:dyDescent="0.3">
      <c r="A528">
        <v>2022</v>
      </c>
      <c r="B528" t="s">
        <v>25</v>
      </c>
      <c r="C528" t="s">
        <v>8</v>
      </c>
      <c r="D528" t="s">
        <v>198</v>
      </c>
      <c r="E528" t="s">
        <v>231</v>
      </c>
      <c r="F528">
        <v>585294.07999999996</v>
      </c>
      <c r="G528">
        <v>930</v>
      </c>
      <c r="H528">
        <v>563</v>
      </c>
    </row>
    <row r="529" spans="1:8" x14ac:dyDescent="0.3">
      <c r="A529">
        <v>2022</v>
      </c>
      <c r="B529" t="s">
        <v>20</v>
      </c>
      <c r="C529" t="s">
        <v>8</v>
      </c>
      <c r="D529" t="s">
        <v>131</v>
      </c>
      <c r="E529" t="s">
        <v>230</v>
      </c>
      <c r="F529">
        <v>586849.76</v>
      </c>
      <c r="G529">
        <v>795</v>
      </c>
      <c r="H529">
        <v>469</v>
      </c>
    </row>
    <row r="530" spans="1:8" x14ac:dyDescent="0.3">
      <c r="A530">
        <v>2022</v>
      </c>
      <c r="B530" t="s">
        <v>22</v>
      </c>
      <c r="C530" t="s">
        <v>8</v>
      </c>
      <c r="D530" t="s">
        <v>132</v>
      </c>
      <c r="E530" t="s">
        <v>234</v>
      </c>
      <c r="F530">
        <v>587074.88</v>
      </c>
      <c r="G530">
        <v>784</v>
      </c>
      <c r="H530">
        <v>540</v>
      </c>
    </row>
    <row r="531" spans="1:8" x14ac:dyDescent="0.3">
      <c r="A531">
        <v>2022</v>
      </c>
      <c r="B531" t="s">
        <v>24</v>
      </c>
      <c r="C531" t="s">
        <v>8</v>
      </c>
      <c r="D531" t="s">
        <v>202</v>
      </c>
      <c r="E531" t="s">
        <v>229</v>
      </c>
      <c r="F531">
        <v>612550.40000000002</v>
      </c>
      <c r="G531">
        <v>795</v>
      </c>
      <c r="H531">
        <v>469</v>
      </c>
    </row>
    <row r="532" spans="1:8" x14ac:dyDescent="0.3">
      <c r="A532">
        <v>2022</v>
      </c>
      <c r="B532" t="s">
        <v>25</v>
      </c>
      <c r="C532" t="s">
        <v>8</v>
      </c>
      <c r="D532" t="s">
        <v>135</v>
      </c>
      <c r="E532" t="s">
        <v>235</v>
      </c>
      <c r="F532">
        <v>612550.40000000002</v>
      </c>
      <c r="G532">
        <v>839</v>
      </c>
      <c r="H532">
        <v>983</v>
      </c>
    </row>
    <row r="533" spans="1:8" x14ac:dyDescent="0.3">
      <c r="A533">
        <v>2022</v>
      </c>
      <c r="B533" t="s">
        <v>23</v>
      </c>
      <c r="C533" t="s">
        <v>8</v>
      </c>
      <c r="D533" t="s">
        <v>220</v>
      </c>
      <c r="E533" t="s">
        <v>236</v>
      </c>
      <c r="F533">
        <v>612550.40000000002</v>
      </c>
      <c r="G533">
        <v>403</v>
      </c>
      <c r="H533">
        <v>953</v>
      </c>
    </row>
    <row r="534" spans="1:8" x14ac:dyDescent="0.3">
      <c r="A534">
        <v>2022</v>
      </c>
      <c r="B534" t="s">
        <v>23</v>
      </c>
      <c r="C534" t="s">
        <v>8</v>
      </c>
      <c r="D534" t="s">
        <v>136</v>
      </c>
      <c r="E534" t="s">
        <v>231</v>
      </c>
      <c r="F534">
        <v>624863.67999999993</v>
      </c>
      <c r="G534">
        <v>577</v>
      </c>
      <c r="H534">
        <v>175</v>
      </c>
    </row>
    <row r="535" spans="1:8" x14ac:dyDescent="0.3">
      <c r="A535">
        <v>2022</v>
      </c>
      <c r="B535" t="s">
        <v>23</v>
      </c>
      <c r="C535" t="s">
        <v>8</v>
      </c>
      <c r="D535" t="s">
        <v>137</v>
      </c>
      <c r="E535" t="s">
        <v>231</v>
      </c>
      <c r="F535">
        <v>635797.12</v>
      </c>
      <c r="G535">
        <v>577</v>
      </c>
      <c r="H535">
        <v>175</v>
      </c>
    </row>
    <row r="536" spans="1:8" x14ac:dyDescent="0.3">
      <c r="A536">
        <v>2022</v>
      </c>
      <c r="B536" t="s">
        <v>19</v>
      </c>
      <c r="C536" t="s">
        <v>8</v>
      </c>
      <c r="D536" t="s">
        <v>197</v>
      </c>
      <c r="E536" t="s">
        <v>233</v>
      </c>
      <c r="F536">
        <v>642616.80000000005</v>
      </c>
      <c r="G536">
        <v>872</v>
      </c>
      <c r="H536">
        <v>249</v>
      </c>
    </row>
    <row r="537" spans="1:8" x14ac:dyDescent="0.3">
      <c r="A537">
        <v>2022</v>
      </c>
      <c r="B537" t="s">
        <v>18</v>
      </c>
      <c r="C537" t="s">
        <v>8</v>
      </c>
      <c r="D537" t="s">
        <v>139</v>
      </c>
      <c r="E537" t="s">
        <v>232</v>
      </c>
      <c r="F537">
        <v>653988.16</v>
      </c>
      <c r="G537">
        <v>93</v>
      </c>
      <c r="H537">
        <v>852</v>
      </c>
    </row>
    <row r="538" spans="1:8" x14ac:dyDescent="0.3">
      <c r="A538">
        <v>2022</v>
      </c>
      <c r="B538" t="s">
        <v>23</v>
      </c>
      <c r="C538" t="s">
        <v>8</v>
      </c>
      <c r="D538" t="s">
        <v>140</v>
      </c>
      <c r="E538" t="s">
        <v>232</v>
      </c>
      <c r="F538">
        <v>655095.84</v>
      </c>
      <c r="G538">
        <v>568</v>
      </c>
      <c r="H538">
        <v>505</v>
      </c>
    </row>
    <row r="539" spans="1:8" x14ac:dyDescent="0.3">
      <c r="A539">
        <v>2022</v>
      </c>
      <c r="B539" t="s">
        <v>25</v>
      </c>
      <c r="C539" t="s">
        <v>8</v>
      </c>
      <c r="D539" t="s">
        <v>141</v>
      </c>
      <c r="E539" t="s">
        <v>232</v>
      </c>
      <c r="F539">
        <v>658492.80000000005</v>
      </c>
      <c r="G539">
        <v>968</v>
      </c>
      <c r="H539">
        <v>330</v>
      </c>
    </row>
    <row r="540" spans="1:8" x14ac:dyDescent="0.3">
      <c r="A540">
        <v>2022</v>
      </c>
      <c r="B540" t="s">
        <v>23</v>
      </c>
      <c r="C540" t="s">
        <v>8</v>
      </c>
      <c r="D540" t="s">
        <v>188</v>
      </c>
      <c r="E540" t="s">
        <v>233</v>
      </c>
      <c r="F540">
        <v>660390.07999999996</v>
      </c>
      <c r="G540">
        <v>839</v>
      </c>
      <c r="H540">
        <v>983</v>
      </c>
    </row>
    <row r="541" spans="1:8" x14ac:dyDescent="0.3">
      <c r="A541">
        <v>2022</v>
      </c>
      <c r="B541" t="s">
        <v>21</v>
      </c>
      <c r="C541" t="s">
        <v>8</v>
      </c>
      <c r="D541" t="s">
        <v>144</v>
      </c>
      <c r="E541" t="s">
        <v>229</v>
      </c>
      <c r="F541">
        <v>670153.12</v>
      </c>
      <c r="G541">
        <v>312</v>
      </c>
      <c r="H541">
        <v>983</v>
      </c>
    </row>
    <row r="542" spans="1:8" x14ac:dyDescent="0.3">
      <c r="A542">
        <v>2022</v>
      </c>
      <c r="B542" t="s">
        <v>27</v>
      </c>
      <c r="C542" t="s">
        <v>8</v>
      </c>
      <c r="D542" t="s">
        <v>145</v>
      </c>
      <c r="E542" t="s">
        <v>231</v>
      </c>
      <c r="F542">
        <v>685441.12</v>
      </c>
      <c r="G542">
        <v>692</v>
      </c>
      <c r="H542">
        <v>300</v>
      </c>
    </row>
    <row r="543" spans="1:8" x14ac:dyDescent="0.3">
      <c r="A543">
        <v>2022</v>
      </c>
      <c r="B543" t="s">
        <v>21</v>
      </c>
      <c r="C543" t="s">
        <v>8</v>
      </c>
      <c r="D543" t="s">
        <v>217</v>
      </c>
      <c r="E543" t="s">
        <v>232</v>
      </c>
      <c r="F543">
        <v>685790.56</v>
      </c>
      <c r="G543">
        <v>597</v>
      </c>
      <c r="H543">
        <v>287</v>
      </c>
    </row>
    <row r="544" spans="1:8" x14ac:dyDescent="0.3">
      <c r="A544">
        <v>2022</v>
      </c>
      <c r="B544" t="s">
        <v>27</v>
      </c>
      <c r="C544" t="s">
        <v>8</v>
      </c>
      <c r="D544" t="s">
        <v>227</v>
      </c>
      <c r="E544" t="s">
        <v>234</v>
      </c>
      <c r="F544">
        <v>692508.32</v>
      </c>
      <c r="G544">
        <v>413</v>
      </c>
      <c r="H544">
        <v>930</v>
      </c>
    </row>
    <row r="545" spans="1:8" x14ac:dyDescent="0.3">
      <c r="A545">
        <v>2022</v>
      </c>
      <c r="B545" t="s">
        <v>18</v>
      </c>
      <c r="C545" t="s">
        <v>8</v>
      </c>
      <c r="D545" t="s">
        <v>219</v>
      </c>
      <c r="E545" t="s">
        <v>229</v>
      </c>
      <c r="F545">
        <v>692508.32</v>
      </c>
      <c r="G545">
        <v>210</v>
      </c>
      <c r="H545">
        <v>177</v>
      </c>
    </row>
    <row r="546" spans="1:8" x14ac:dyDescent="0.3">
      <c r="A546">
        <v>2022</v>
      </c>
      <c r="B546" t="s">
        <v>20</v>
      </c>
      <c r="C546" t="s">
        <v>8</v>
      </c>
      <c r="D546" t="s">
        <v>148</v>
      </c>
      <c r="E546" t="s">
        <v>236</v>
      </c>
      <c r="F546">
        <v>692508.32</v>
      </c>
      <c r="G546">
        <v>839</v>
      </c>
      <c r="H546">
        <v>983</v>
      </c>
    </row>
    <row r="547" spans="1:8" x14ac:dyDescent="0.3">
      <c r="A547">
        <v>2022</v>
      </c>
      <c r="B547" t="s">
        <v>20</v>
      </c>
      <c r="C547" t="s">
        <v>8</v>
      </c>
      <c r="D547" t="s">
        <v>206</v>
      </c>
      <c r="E547" t="s">
        <v>236</v>
      </c>
      <c r="F547">
        <v>692508.32</v>
      </c>
      <c r="G547">
        <v>210</v>
      </c>
      <c r="H547">
        <v>177</v>
      </c>
    </row>
    <row r="548" spans="1:8" x14ac:dyDescent="0.3">
      <c r="A548">
        <v>2022</v>
      </c>
      <c r="B548" t="s">
        <v>23</v>
      </c>
      <c r="C548" t="s">
        <v>8</v>
      </c>
      <c r="D548" t="s">
        <v>212</v>
      </c>
      <c r="E548" t="s">
        <v>236</v>
      </c>
      <c r="F548">
        <v>694077.43999999994</v>
      </c>
      <c r="G548">
        <v>413</v>
      </c>
      <c r="H548">
        <v>930</v>
      </c>
    </row>
    <row r="549" spans="1:8" x14ac:dyDescent="0.3">
      <c r="A549">
        <v>2022</v>
      </c>
      <c r="B549" t="s">
        <v>26</v>
      </c>
      <c r="C549" t="s">
        <v>8</v>
      </c>
      <c r="D549" t="s">
        <v>149</v>
      </c>
      <c r="E549" t="s">
        <v>230</v>
      </c>
      <c r="F549">
        <v>697089.12</v>
      </c>
      <c r="G549">
        <v>795</v>
      </c>
      <c r="H549">
        <v>469</v>
      </c>
    </row>
    <row r="550" spans="1:8" x14ac:dyDescent="0.3">
      <c r="A550">
        <v>2022</v>
      </c>
      <c r="B550" t="s">
        <v>25</v>
      </c>
      <c r="C550" t="s">
        <v>8</v>
      </c>
      <c r="D550" t="s">
        <v>150</v>
      </c>
      <c r="E550" t="s">
        <v>233</v>
      </c>
      <c r="F550">
        <v>701037.12</v>
      </c>
      <c r="G550">
        <v>610</v>
      </c>
      <c r="H550">
        <v>970</v>
      </c>
    </row>
    <row r="551" spans="1:8" x14ac:dyDescent="0.3">
      <c r="A551">
        <v>2022</v>
      </c>
      <c r="B551" t="s">
        <v>22</v>
      </c>
      <c r="C551" t="s">
        <v>8</v>
      </c>
      <c r="D551" t="s">
        <v>214</v>
      </c>
      <c r="E551" t="s">
        <v>230</v>
      </c>
      <c r="F551">
        <v>704532.64</v>
      </c>
      <c r="G551">
        <v>168</v>
      </c>
      <c r="H551">
        <v>97</v>
      </c>
    </row>
    <row r="552" spans="1:8" x14ac:dyDescent="0.3">
      <c r="A552">
        <v>2022</v>
      </c>
      <c r="B552" t="s">
        <v>19</v>
      </c>
      <c r="C552" t="s">
        <v>8</v>
      </c>
      <c r="D552" t="s">
        <v>151</v>
      </c>
      <c r="E552" t="s">
        <v>234</v>
      </c>
      <c r="F552">
        <v>706171.2</v>
      </c>
      <c r="G552">
        <v>168</v>
      </c>
      <c r="H552">
        <v>97</v>
      </c>
    </row>
    <row r="553" spans="1:8" x14ac:dyDescent="0.3">
      <c r="A553">
        <v>2022</v>
      </c>
      <c r="B553" t="s">
        <v>27</v>
      </c>
      <c r="C553" t="s">
        <v>8</v>
      </c>
      <c r="D553" t="s">
        <v>89</v>
      </c>
      <c r="E553" t="s">
        <v>234</v>
      </c>
      <c r="F553">
        <v>706171.2</v>
      </c>
      <c r="G553">
        <v>312</v>
      </c>
      <c r="H553">
        <v>983</v>
      </c>
    </row>
    <row r="554" spans="1:8" x14ac:dyDescent="0.3">
      <c r="A554">
        <v>2022</v>
      </c>
      <c r="B554" t="s">
        <v>21</v>
      </c>
      <c r="C554" t="s">
        <v>8</v>
      </c>
      <c r="D554" t="s">
        <v>154</v>
      </c>
      <c r="E554" t="s">
        <v>230</v>
      </c>
      <c r="F554">
        <v>712968.48</v>
      </c>
      <c r="G554">
        <v>795</v>
      </c>
      <c r="H554">
        <v>469</v>
      </c>
    </row>
    <row r="555" spans="1:8" x14ac:dyDescent="0.3">
      <c r="A555">
        <v>2022</v>
      </c>
      <c r="B555" t="s">
        <v>19</v>
      </c>
      <c r="C555" t="s">
        <v>8</v>
      </c>
      <c r="D555" t="s">
        <v>155</v>
      </c>
      <c r="E555" t="s">
        <v>231</v>
      </c>
      <c r="F555">
        <v>748492.64</v>
      </c>
      <c r="G555">
        <v>403</v>
      </c>
      <c r="H555">
        <v>953</v>
      </c>
    </row>
    <row r="556" spans="1:8" x14ac:dyDescent="0.3">
      <c r="A556">
        <v>2022</v>
      </c>
      <c r="B556" t="s">
        <v>21</v>
      </c>
      <c r="C556" t="s">
        <v>8</v>
      </c>
      <c r="D556" t="s">
        <v>184</v>
      </c>
      <c r="E556" t="s">
        <v>232</v>
      </c>
      <c r="F556">
        <v>764721.44</v>
      </c>
      <c r="G556">
        <v>168</v>
      </c>
      <c r="H556">
        <v>97</v>
      </c>
    </row>
    <row r="557" spans="1:8" x14ac:dyDescent="0.3">
      <c r="A557">
        <v>2022</v>
      </c>
      <c r="B557" t="s">
        <v>19</v>
      </c>
      <c r="C557" t="s">
        <v>8</v>
      </c>
      <c r="D557" t="s">
        <v>156</v>
      </c>
      <c r="E557" t="s">
        <v>231</v>
      </c>
      <c r="F557">
        <v>781448.64</v>
      </c>
      <c r="G557">
        <v>403</v>
      </c>
      <c r="H557">
        <v>953</v>
      </c>
    </row>
    <row r="558" spans="1:8" x14ac:dyDescent="0.3">
      <c r="A558">
        <v>2022</v>
      </c>
      <c r="B558" t="s">
        <v>21</v>
      </c>
      <c r="C558" t="s">
        <v>8</v>
      </c>
      <c r="D558" t="s">
        <v>124</v>
      </c>
      <c r="E558" t="s">
        <v>230</v>
      </c>
      <c r="F558">
        <v>786367.67999999993</v>
      </c>
      <c r="G558">
        <v>839</v>
      </c>
      <c r="H558">
        <v>983</v>
      </c>
    </row>
    <row r="559" spans="1:8" x14ac:dyDescent="0.3">
      <c r="A559">
        <v>2022</v>
      </c>
      <c r="B559" t="s">
        <v>24</v>
      </c>
      <c r="C559" t="s">
        <v>8</v>
      </c>
      <c r="D559" t="s">
        <v>157</v>
      </c>
      <c r="E559" t="s">
        <v>235</v>
      </c>
      <c r="F559">
        <v>786367.67999999993</v>
      </c>
      <c r="G559">
        <v>168</v>
      </c>
      <c r="H559">
        <v>97</v>
      </c>
    </row>
    <row r="560" spans="1:8" x14ac:dyDescent="0.3">
      <c r="A560">
        <v>2022</v>
      </c>
      <c r="B560" t="s">
        <v>26</v>
      </c>
      <c r="C560" t="s">
        <v>8</v>
      </c>
      <c r="D560" t="s">
        <v>47</v>
      </c>
      <c r="E560" t="s">
        <v>233</v>
      </c>
      <c r="F560">
        <v>801894.24</v>
      </c>
      <c r="G560">
        <v>610</v>
      </c>
      <c r="H560">
        <v>970</v>
      </c>
    </row>
    <row r="561" spans="1:8" x14ac:dyDescent="0.3">
      <c r="A561">
        <v>2022</v>
      </c>
      <c r="B561" t="s">
        <v>21</v>
      </c>
      <c r="C561" t="s">
        <v>8</v>
      </c>
      <c r="D561" t="s">
        <v>196</v>
      </c>
      <c r="E561" t="s">
        <v>232</v>
      </c>
      <c r="F561">
        <v>801894.24</v>
      </c>
      <c r="G561">
        <v>692</v>
      </c>
      <c r="H561">
        <v>300</v>
      </c>
    </row>
    <row r="562" spans="1:8" x14ac:dyDescent="0.3">
      <c r="A562">
        <v>2022</v>
      </c>
      <c r="B562" t="s">
        <v>27</v>
      </c>
      <c r="C562" t="s">
        <v>8</v>
      </c>
      <c r="D562" t="s">
        <v>208</v>
      </c>
      <c r="E562" t="s">
        <v>232</v>
      </c>
      <c r="F562">
        <v>801894.24</v>
      </c>
      <c r="G562">
        <v>93</v>
      </c>
      <c r="H562">
        <v>852</v>
      </c>
    </row>
    <row r="563" spans="1:8" x14ac:dyDescent="0.3">
      <c r="A563">
        <v>2022</v>
      </c>
      <c r="B563" t="s">
        <v>24</v>
      </c>
      <c r="C563" t="s">
        <v>8</v>
      </c>
      <c r="D563" t="s">
        <v>203</v>
      </c>
      <c r="E563" t="s">
        <v>229</v>
      </c>
      <c r="F563">
        <v>801894.24</v>
      </c>
      <c r="G563">
        <v>610</v>
      </c>
      <c r="H563">
        <v>970</v>
      </c>
    </row>
    <row r="564" spans="1:8" x14ac:dyDescent="0.3">
      <c r="A564">
        <v>2022</v>
      </c>
      <c r="B564" t="s">
        <v>26</v>
      </c>
      <c r="C564" t="s">
        <v>8</v>
      </c>
      <c r="D564" t="s">
        <v>160</v>
      </c>
      <c r="E564" t="s">
        <v>233</v>
      </c>
      <c r="F564">
        <v>814604</v>
      </c>
      <c r="G564">
        <v>403</v>
      </c>
      <c r="H564">
        <v>953</v>
      </c>
    </row>
    <row r="565" spans="1:8" x14ac:dyDescent="0.3">
      <c r="A565">
        <v>2022</v>
      </c>
      <c r="B565" t="s">
        <v>25</v>
      </c>
      <c r="C565" t="s">
        <v>8</v>
      </c>
      <c r="D565" t="s">
        <v>218</v>
      </c>
      <c r="E565" t="s">
        <v>234</v>
      </c>
      <c r="F565">
        <v>815366.72</v>
      </c>
      <c r="G565">
        <v>784</v>
      </c>
      <c r="H565">
        <v>540</v>
      </c>
    </row>
    <row r="566" spans="1:8" x14ac:dyDescent="0.3">
      <c r="A566">
        <v>2022</v>
      </c>
      <c r="B566" t="s">
        <v>21</v>
      </c>
      <c r="C566" t="s">
        <v>8</v>
      </c>
      <c r="D566" t="s">
        <v>161</v>
      </c>
      <c r="E566" t="s">
        <v>229</v>
      </c>
      <c r="F566">
        <v>815624.32</v>
      </c>
      <c r="G566">
        <v>568</v>
      </c>
      <c r="H566">
        <v>505</v>
      </c>
    </row>
    <row r="567" spans="1:8" x14ac:dyDescent="0.3">
      <c r="A567">
        <v>2022</v>
      </c>
      <c r="B567" t="s">
        <v>26</v>
      </c>
      <c r="C567" t="s">
        <v>8</v>
      </c>
      <c r="D567" t="s">
        <v>162</v>
      </c>
      <c r="E567" t="s">
        <v>233</v>
      </c>
      <c r="F567">
        <v>816850.72</v>
      </c>
      <c r="G567">
        <v>312</v>
      </c>
      <c r="H567">
        <v>983</v>
      </c>
    </row>
    <row r="568" spans="1:8" x14ac:dyDescent="0.3">
      <c r="A568">
        <v>2022</v>
      </c>
      <c r="B568" t="s">
        <v>22</v>
      </c>
      <c r="C568" t="s">
        <v>8</v>
      </c>
      <c r="D568" t="s">
        <v>221</v>
      </c>
      <c r="E568" t="s">
        <v>230</v>
      </c>
      <c r="F568">
        <v>819636.16</v>
      </c>
      <c r="G568">
        <v>210</v>
      </c>
      <c r="H568">
        <v>177</v>
      </c>
    </row>
    <row r="569" spans="1:8" x14ac:dyDescent="0.3">
      <c r="A569">
        <v>2022</v>
      </c>
      <c r="B569" t="s">
        <v>20</v>
      </c>
      <c r="C569" t="s">
        <v>8</v>
      </c>
      <c r="D569" t="s">
        <v>182</v>
      </c>
      <c r="E569" t="s">
        <v>235</v>
      </c>
      <c r="F569">
        <v>819636.16</v>
      </c>
      <c r="G569">
        <v>287</v>
      </c>
      <c r="H569">
        <v>744</v>
      </c>
    </row>
    <row r="570" spans="1:8" x14ac:dyDescent="0.3">
      <c r="A570">
        <v>2022</v>
      </c>
      <c r="B570" t="s">
        <v>25</v>
      </c>
      <c r="C570" t="s">
        <v>8</v>
      </c>
      <c r="D570" t="s">
        <v>200</v>
      </c>
      <c r="E570" t="s">
        <v>235</v>
      </c>
      <c r="F570">
        <v>819636.16</v>
      </c>
      <c r="G570">
        <v>839</v>
      </c>
      <c r="H570">
        <v>334</v>
      </c>
    </row>
    <row r="571" spans="1:8" x14ac:dyDescent="0.3">
      <c r="A571">
        <v>2022</v>
      </c>
      <c r="B571" t="s">
        <v>25</v>
      </c>
      <c r="C571" t="s">
        <v>8</v>
      </c>
      <c r="D571" t="s">
        <v>165</v>
      </c>
      <c r="E571" t="s">
        <v>233</v>
      </c>
      <c r="F571">
        <v>828244.47999999998</v>
      </c>
      <c r="G571">
        <v>210</v>
      </c>
      <c r="H571">
        <v>177</v>
      </c>
    </row>
    <row r="572" spans="1:8" x14ac:dyDescent="0.3">
      <c r="A572">
        <v>2022</v>
      </c>
      <c r="B572" t="s">
        <v>21</v>
      </c>
      <c r="C572" t="s">
        <v>8</v>
      </c>
      <c r="D572" t="s">
        <v>201</v>
      </c>
      <c r="E572" t="s">
        <v>232</v>
      </c>
      <c r="F572">
        <v>836894.24</v>
      </c>
      <c r="G572">
        <v>968</v>
      </c>
      <c r="H572">
        <v>330</v>
      </c>
    </row>
    <row r="573" spans="1:8" x14ac:dyDescent="0.3">
      <c r="A573">
        <v>2022</v>
      </c>
      <c r="B573" t="s">
        <v>25</v>
      </c>
      <c r="C573" t="s">
        <v>8</v>
      </c>
      <c r="D573" t="s">
        <v>207</v>
      </c>
      <c r="E573" t="s">
        <v>231</v>
      </c>
      <c r="F573">
        <v>836894.24</v>
      </c>
      <c r="G573">
        <v>839</v>
      </c>
      <c r="H573">
        <v>334</v>
      </c>
    </row>
    <row r="574" spans="1:8" x14ac:dyDescent="0.3">
      <c r="A574">
        <v>2022</v>
      </c>
      <c r="B574" t="s">
        <v>19</v>
      </c>
      <c r="C574" t="s">
        <v>8</v>
      </c>
      <c r="D574" t="s">
        <v>166</v>
      </c>
      <c r="E574" t="s">
        <v>234</v>
      </c>
      <c r="F574">
        <v>837550.56</v>
      </c>
      <c r="G574">
        <v>872</v>
      </c>
      <c r="H574">
        <v>249</v>
      </c>
    </row>
    <row r="575" spans="1:8" x14ac:dyDescent="0.3">
      <c r="A575">
        <v>2022</v>
      </c>
      <c r="B575" t="s">
        <v>18</v>
      </c>
      <c r="C575" t="s">
        <v>8</v>
      </c>
      <c r="D575" t="s">
        <v>168</v>
      </c>
      <c r="E575" t="s">
        <v>232</v>
      </c>
      <c r="F575">
        <v>878315.2</v>
      </c>
      <c r="G575">
        <v>93</v>
      </c>
      <c r="H575">
        <v>852</v>
      </c>
    </row>
    <row r="576" spans="1:8" x14ac:dyDescent="0.3">
      <c r="A576">
        <v>2022</v>
      </c>
      <c r="B576" t="s">
        <v>25</v>
      </c>
      <c r="C576" t="s">
        <v>8</v>
      </c>
      <c r="D576" t="s">
        <v>169</v>
      </c>
      <c r="E576" t="s">
        <v>232</v>
      </c>
      <c r="F576">
        <v>883137.92</v>
      </c>
      <c r="G576">
        <v>968</v>
      </c>
      <c r="H576">
        <v>330</v>
      </c>
    </row>
    <row r="577" spans="1:8" x14ac:dyDescent="0.3">
      <c r="A577">
        <v>2022</v>
      </c>
      <c r="B577" t="s">
        <v>19</v>
      </c>
      <c r="C577" t="s">
        <v>8</v>
      </c>
      <c r="D577" t="s">
        <v>111</v>
      </c>
      <c r="E577" t="s">
        <v>236</v>
      </c>
      <c r="F577">
        <v>883137.92</v>
      </c>
      <c r="G577">
        <v>839</v>
      </c>
      <c r="H577">
        <v>334</v>
      </c>
    </row>
    <row r="578" spans="1:8" x14ac:dyDescent="0.3">
      <c r="A578">
        <v>2022</v>
      </c>
      <c r="B578" t="s">
        <v>25</v>
      </c>
      <c r="C578" t="s">
        <v>8</v>
      </c>
      <c r="D578" t="s">
        <v>189</v>
      </c>
      <c r="E578" t="s">
        <v>234</v>
      </c>
      <c r="F578">
        <v>905044</v>
      </c>
      <c r="G578">
        <v>413</v>
      </c>
      <c r="H578">
        <v>930</v>
      </c>
    </row>
    <row r="579" spans="1:8" x14ac:dyDescent="0.3">
      <c r="A579">
        <v>2022</v>
      </c>
      <c r="B579" t="s">
        <v>21</v>
      </c>
      <c r="C579" t="s">
        <v>8</v>
      </c>
      <c r="D579" t="s">
        <v>171</v>
      </c>
      <c r="E579" t="s">
        <v>229</v>
      </c>
      <c r="F579">
        <v>907140.64</v>
      </c>
      <c r="G579">
        <v>168</v>
      </c>
      <c r="H579">
        <v>97</v>
      </c>
    </row>
    <row r="580" spans="1:8" x14ac:dyDescent="0.3">
      <c r="A580">
        <v>2022</v>
      </c>
      <c r="B580" t="s">
        <v>26</v>
      </c>
      <c r="C580" t="s">
        <v>8</v>
      </c>
      <c r="D580" t="s">
        <v>173</v>
      </c>
      <c r="E580" t="s">
        <v>234</v>
      </c>
      <c r="F580">
        <v>907777.92</v>
      </c>
      <c r="G580">
        <v>403</v>
      </c>
      <c r="H580">
        <v>953</v>
      </c>
    </row>
    <row r="581" spans="1:8" x14ac:dyDescent="0.3">
      <c r="A581">
        <v>2022</v>
      </c>
      <c r="B581" t="s">
        <v>26</v>
      </c>
      <c r="C581" t="s">
        <v>8</v>
      </c>
      <c r="D581" t="s">
        <v>33</v>
      </c>
      <c r="E581" t="s">
        <v>234</v>
      </c>
      <c r="F581">
        <v>911080.8</v>
      </c>
      <c r="G581">
        <v>577</v>
      </c>
      <c r="H581">
        <v>175</v>
      </c>
    </row>
    <row r="582" spans="1:8" x14ac:dyDescent="0.3">
      <c r="A582">
        <v>2022</v>
      </c>
      <c r="B582" t="s">
        <v>25</v>
      </c>
      <c r="C582" t="s">
        <v>13</v>
      </c>
      <c r="D582" t="s">
        <v>170</v>
      </c>
      <c r="E582" t="s">
        <v>231</v>
      </c>
      <c r="F582">
        <v>925289.12</v>
      </c>
      <c r="G582">
        <v>839</v>
      </c>
      <c r="H582">
        <v>334</v>
      </c>
    </row>
    <row r="583" spans="1:8" x14ac:dyDescent="0.3">
      <c r="A583">
        <v>2022</v>
      </c>
      <c r="B583" t="s">
        <v>25</v>
      </c>
      <c r="C583" t="s">
        <v>10</v>
      </c>
      <c r="D583" t="s">
        <v>82</v>
      </c>
      <c r="E583" t="s">
        <v>233</v>
      </c>
      <c r="F583">
        <v>928877.6</v>
      </c>
      <c r="G583">
        <v>210</v>
      </c>
      <c r="H583">
        <v>177</v>
      </c>
    </row>
    <row r="584" spans="1:8" x14ac:dyDescent="0.3">
      <c r="A584">
        <v>2022</v>
      </c>
      <c r="B584" t="s">
        <v>23</v>
      </c>
      <c r="C584" t="s">
        <v>8</v>
      </c>
      <c r="D584" t="s">
        <v>133</v>
      </c>
      <c r="E584" t="s">
        <v>231</v>
      </c>
      <c r="F584">
        <v>935664.8</v>
      </c>
      <c r="G584">
        <v>93</v>
      </c>
      <c r="H584">
        <v>852</v>
      </c>
    </row>
    <row r="585" spans="1:8" x14ac:dyDescent="0.3">
      <c r="A585">
        <v>2022</v>
      </c>
      <c r="B585" t="s">
        <v>22</v>
      </c>
      <c r="C585" t="s">
        <v>9</v>
      </c>
      <c r="D585" t="s">
        <v>159</v>
      </c>
      <c r="E585" t="s">
        <v>230</v>
      </c>
      <c r="F585">
        <v>937183.52</v>
      </c>
      <c r="G585">
        <v>312</v>
      </c>
      <c r="H585">
        <v>983</v>
      </c>
    </row>
    <row r="586" spans="1:8" x14ac:dyDescent="0.3">
      <c r="A586">
        <v>2022</v>
      </c>
      <c r="B586" t="s">
        <v>21</v>
      </c>
      <c r="C586" t="s">
        <v>8</v>
      </c>
      <c r="D586" t="s">
        <v>142</v>
      </c>
      <c r="E586" t="s">
        <v>230</v>
      </c>
      <c r="F586">
        <v>941072.16</v>
      </c>
      <c r="G586">
        <v>597</v>
      </c>
      <c r="H586">
        <v>287</v>
      </c>
    </row>
    <row r="587" spans="1:8" x14ac:dyDescent="0.3">
      <c r="A587">
        <v>2022</v>
      </c>
      <c r="B587" t="s">
        <v>25</v>
      </c>
      <c r="C587" t="s">
        <v>8</v>
      </c>
      <c r="D587" t="s">
        <v>113</v>
      </c>
      <c r="E587" t="s">
        <v>233</v>
      </c>
      <c r="F587">
        <v>951972</v>
      </c>
      <c r="G587">
        <v>287</v>
      </c>
      <c r="H587">
        <v>744</v>
      </c>
    </row>
    <row r="588" spans="1:8" x14ac:dyDescent="0.3">
      <c r="A588">
        <v>2022</v>
      </c>
      <c r="B588" t="s">
        <v>19</v>
      </c>
      <c r="C588" t="s">
        <v>8</v>
      </c>
      <c r="D588" t="s">
        <v>163</v>
      </c>
      <c r="E588" t="s">
        <v>230</v>
      </c>
      <c r="F588">
        <v>954561.44</v>
      </c>
      <c r="G588">
        <v>287</v>
      </c>
      <c r="H588">
        <v>744</v>
      </c>
    </row>
    <row r="589" spans="1:8" x14ac:dyDescent="0.3">
      <c r="A589">
        <v>2022</v>
      </c>
      <c r="B589" t="s">
        <v>18</v>
      </c>
      <c r="C589" t="s">
        <v>8</v>
      </c>
      <c r="D589" t="s">
        <v>106</v>
      </c>
      <c r="E589" t="s">
        <v>232</v>
      </c>
      <c r="F589">
        <v>964759.04000000004</v>
      </c>
      <c r="G589">
        <v>93</v>
      </c>
      <c r="H589">
        <v>852</v>
      </c>
    </row>
    <row r="590" spans="1:8" x14ac:dyDescent="0.3">
      <c r="A590">
        <v>2022</v>
      </c>
      <c r="B590" t="s">
        <v>20</v>
      </c>
      <c r="C590" t="s">
        <v>8</v>
      </c>
      <c r="D590" t="s">
        <v>72</v>
      </c>
      <c r="E590" t="s">
        <v>235</v>
      </c>
      <c r="F590">
        <v>972447.84</v>
      </c>
      <c r="G590">
        <v>287</v>
      </c>
      <c r="H590">
        <v>744</v>
      </c>
    </row>
    <row r="591" spans="1:8" x14ac:dyDescent="0.3">
      <c r="A591">
        <v>2022</v>
      </c>
      <c r="B591" t="s">
        <v>25</v>
      </c>
      <c r="C591" t="s">
        <v>8</v>
      </c>
      <c r="D591" t="s">
        <v>176</v>
      </c>
      <c r="E591" t="s">
        <v>234</v>
      </c>
      <c r="F591">
        <v>972776</v>
      </c>
      <c r="G591">
        <v>93</v>
      </c>
      <c r="H591">
        <v>852</v>
      </c>
    </row>
    <row r="592" spans="1:8" x14ac:dyDescent="0.3">
      <c r="A592">
        <v>2022</v>
      </c>
      <c r="B592" t="s">
        <v>24</v>
      </c>
      <c r="C592" t="s">
        <v>8</v>
      </c>
      <c r="D592" t="s">
        <v>147</v>
      </c>
      <c r="E592" t="s">
        <v>229</v>
      </c>
      <c r="F592">
        <v>972776</v>
      </c>
      <c r="G592">
        <v>568</v>
      </c>
      <c r="H592">
        <v>505</v>
      </c>
    </row>
    <row r="593" spans="1:8" x14ac:dyDescent="0.3">
      <c r="A593">
        <v>2022</v>
      </c>
      <c r="B593" t="s">
        <v>21</v>
      </c>
      <c r="C593" t="s">
        <v>8</v>
      </c>
      <c r="D593" t="s">
        <v>195</v>
      </c>
      <c r="E593" t="s">
        <v>235</v>
      </c>
      <c r="F593">
        <v>972776</v>
      </c>
      <c r="G593">
        <v>577</v>
      </c>
      <c r="H593">
        <v>175</v>
      </c>
    </row>
    <row r="594" spans="1:8" x14ac:dyDescent="0.3">
      <c r="A594">
        <v>2022</v>
      </c>
      <c r="B594" t="s">
        <v>22</v>
      </c>
      <c r="C594" t="s">
        <v>8</v>
      </c>
      <c r="D594" t="s">
        <v>158</v>
      </c>
      <c r="E594" t="s">
        <v>231</v>
      </c>
      <c r="F594">
        <v>972776</v>
      </c>
      <c r="G594">
        <v>610</v>
      </c>
      <c r="H594">
        <v>970</v>
      </c>
    </row>
    <row r="595" spans="1:8" x14ac:dyDescent="0.3">
      <c r="A595">
        <v>2022</v>
      </c>
      <c r="B595" t="s">
        <v>19</v>
      </c>
      <c r="C595" t="s">
        <v>8</v>
      </c>
      <c r="D595" t="s">
        <v>138</v>
      </c>
      <c r="E595" t="s">
        <v>230</v>
      </c>
      <c r="F595">
        <v>973183.67999999993</v>
      </c>
      <c r="G595">
        <v>568</v>
      </c>
      <c r="H595">
        <v>505</v>
      </c>
    </row>
    <row r="596" spans="1:8" x14ac:dyDescent="0.3">
      <c r="A596">
        <v>2022</v>
      </c>
      <c r="B596" t="s">
        <v>27</v>
      </c>
      <c r="C596" t="s">
        <v>8</v>
      </c>
      <c r="D596" t="s">
        <v>130</v>
      </c>
      <c r="E596" t="s">
        <v>234</v>
      </c>
      <c r="F596">
        <v>987995.67999999993</v>
      </c>
      <c r="G596">
        <v>692</v>
      </c>
      <c r="H596">
        <v>300</v>
      </c>
    </row>
    <row r="597" spans="1:8" x14ac:dyDescent="0.3">
      <c r="A597">
        <v>2022</v>
      </c>
      <c r="B597" t="s">
        <v>19</v>
      </c>
      <c r="C597" t="s">
        <v>8</v>
      </c>
      <c r="D597" t="s">
        <v>99</v>
      </c>
      <c r="E597" t="s">
        <v>234</v>
      </c>
      <c r="F597">
        <v>1001880.32</v>
      </c>
      <c r="G597">
        <v>168</v>
      </c>
      <c r="H597">
        <v>97</v>
      </c>
    </row>
    <row r="598" spans="1:8" x14ac:dyDescent="0.3">
      <c r="A598">
        <v>2022</v>
      </c>
      <c r="B598" t="s">
        <v>24</v>
      </c>
      <c r="C598" t="s">
        <v>8</v>
      </c>
      <c r="D598" t="s">
        <v>51</v>
      </c>
      <c r="E598" t="s">
        <v>235</v>
      </c>
      <c r="F598">
        <v>1027542.88</v>
      </c>
      <c r="G598">
        <v>795</v>
      </c>
      <c r="H598">
        <v>469</v>
      </c>
    </row>
    <row r="599" spans="1:8" x14ac:dyDescent="0.3">
      <c r="A599">
        <v>2022</v>
      </c>
      <c r="B599" t="s">
        <v>24</v>
      </c>
      <c r="C599" t="s">
        <v>8</v>
      </c>
      <c r="D599" t="s">
        <v>127</v>
      </c>
      <c r="E599" t="s">
        <v>232</v>
      </c>
      <c r="F599">
        <v>1029721.28</v>
      </c>
      <c r="G599">
        <v>610</v>
      </c>
      <c r="H599">
        <v>970</v>
      </c>
    </row>
    <row r="600" spans="1:8" x14ac:dyDescent="0.3">
      <c r="A600">
        <v>2022</v>
      </c>
      <c r="B600" t="s">
        <v>18</v>
      </c>
      <c r="C600" t="s">
        <v>8</v>
      </c>
      <c r="D600" t="s">
        <v>146</v>
      </c>
      <c r="E600" t="s">
        <v>232</v>
      </c>
      <c r="F600">
        <v>1032643.36</v>
      </c>
      <c r="G600">
        <v>692</v>
      </c>
      <c r="H600">
        <v>300</v>
      </c>
    </row>
    <row r="601" spans="1:8" x14ac:dyDescent="0.3">
      <c r="A601">
        <v>2022</v>
      </c>
      <c r="B601" t="s">
        <v>18</v>
      </c>
      <c r="C601" t="s">
        <v>8</v>
      </c>
      <c r="D601" t="s">
        <v>91</v>
      </c>
      <c r="E601" t="s">
        <v>229</v>
      </c>
      <c r="F601">
        <v>1032643.36</v>
      </c>
      <c r="G601">
        <v>968</v>
      </c>
      <c r="H601">
        <v>330</v>
      </c>
    </row>
    <row r="602" spans="1:8" x14ac:dyDescent="0.3">
      <c r="A602">
        <v>2022</v>
      </c>
      <c r="B602" t="s">
        <v>18</v>
      </c>
      <c r="C602" t="s">
        <v>11</v>
      </c>
      <c r="D602" t="s">
        <v>178</v>
      </c>
      <c r="E602" t="s">
        <v>229</v>
      </c>
      <c r="F602">
        <v>1044441.44</v>
      </c>
      <c r="G602">
        <v>839</v>
      </c>
      <c r="H602">
        <v>983</v>
      </c>
    </row>
    <row r="603" spans="1:8" x14ac:dyDescent="0.3">
      <c r="A603">
        <v>2022</v>
      </c>
      <c r="B603" t="s">
        <v>19</v>
      </c>
      <c r="C603" t="s">
        <v>8</v>
      </c>
      <c r="D603" t="s">
        <v>180</v>
      </c>
      <c r="E603" t="s">
        <v>233</v>
      </c>
      <c r="F603">
        <v>1055253.92</v>
      </c>
      <c r="G603">
        <v>577</v>
      </c>
      <c r="H603">
        <v>175</v>
      </c>
    </row>
    <row r="604" spans="1:8" x14ac:dyDescent="0.3">
      <c r="A604">
        <v>2022</v>
      </c>
      <c r="B604" t="s">
        <v>25</v>
      </c>
      <c r="C604" t="s">
        <v>8</v>
      </c>
      <c r="D604" t="s">
        <v>181</v>
      </c>
      <c r="E604" t="s">
        <v>232</v>
      </c>
      <c r="F604">
        <v>1092370.72</v>
      </c>
      <c r="G604">
        <v>968</v>
      </c>
      <c r="H604">
        <v>330</v>
      </c>
    </row>
    <row r="605" spans="1:8" x14ac:dyDescent="0.3">
      <c r="A605">
        <v>2022</v>
      </c>
      <c r="B605" t="s">
        <v>19</v>
      </c>
      <c r="C605" t="s">
        <v>8</v>
      </c>
      <c r="D605" t="s">
        <v>75</v>
      </c>
      <c r="E605" t="s">
        <v>234</v>
      </c>
      <c r="F605">
        <v>1102130.3999999999</v>
      </c>
      <c r="G605">
        <v>168</v>
      </c>
      <c r="H605">
        <v>97</v>
      </c>
    </row>
    <row r="606" spans="1:8" x14ac:dyDescent="0.3">
      <c r="A606">
        <v>2022</v>
      </c>
      <c r="B606" t="s">
        <v>21</v>
      </c>
      <c r="C606" t="s">
        <v>8</v>
      </c>
      <c r="D606" t="s">
        <v>226</v>
      </c>
      <c r="E606" t="s">
        <v>231</v>
      </c>
      <c r="F606">
        <v>1102130.3999999999</v>
      </c>
      <c r="G606">
        <v>839</v>
      </c>
      <c r="H606">
        <v>334</v>
      </c>
    </row>
    <row r="607" spans="1:8" x14ac:dyDescent="0.3">
      <c r="A607">
        <v>2022</v>
      </c>
      <c r="B607" t="s">
        <v>18</v>
      </c>
      <c r="C607" t="s">
        <v>8</v>
      </c>
      <c r="D607" t="s">
        <v>175</v>
      </c>
      <c r="E607" t="s">
        <v>232</v>
      </c>
      <c r="F607">
        <v>1109916.6399999999</v>
      </c>
      <c r="G607">
        <v>312</v>
      </c>
      <c r="H607">
        <v>983</v>
      </c>
    </row>
    <row r="608" spans="1:8" x14ac:dyDescent="0.3">
      <c r="A608">
        <v>2021</v>
      </c>
      <c r="B608" t="s">
        <v>27</v>
      </c>
      <c r="C608" t="s">
        <v>11</v>
      </c>
      <c r="D608" t="s">
        <v>28</v>
      </c>
      <c r="E608" t="s">
        <v>234</v>
      </c>
      <c r="F608">
        <v>102180</v>
      </c>
      <c r="G608">
        <v>249</v>
      </c>
      <c r="H608">
        <v>975</v>
      </c>
    </row>
    <row r="609" spans="1:8" x14ac:dyDescent="0.3">
      <c r="A609">
        <v>2021</v>
      </c>
      <c r="B609" t="s">
        <v>21</v>
      </c>
      <c r="C609" t="s">
        <v>11</v>
      </c>
      <c r="D609" t="s">
        <v>149</v>
      </c>
      <c r="E609" t="s">
        <v>235</v>
      </c>
      <c r="F609">
        <v>114441.60000000001</v>
      </c>
      <c r="G609">
        <v>249</v>
      </c>
      <c r="H609">
        <v>975</v>
      </c>
    </row>
    <row r="610" spans="1:8" x14ac:dyDescent="0.3">
      <c r="A610">
        <v>2021</v>
      </c>
      <c r="B610" t="s">
        <v>20</v>
      </c>
      <c r="C610" t="s">
        <v>14</v>
      </c>
      <c r="D610" t="s">
        <v>66</v>
      </c>
      <c r="E610" t="s">
        <v>228</v>
      </c>
      <c r="F610">
        <v>117088.16</v>
      </c>
      <c r="G610">
        <v>299</v>
      </c>
      <c r="H610">
        <v>975</v>
      </c>
    </row>
    <row r="611" spans="1:8" x14ac:dyDescent="0.3">
      <c r="A611">
        <v>2021</v>
      </c>
      <c r="B611" t="s">
        <v>19</v>
      </c>
      <c r="C611" t="s">
        <v>15</v>
      </c>
      <c r="D611" t="s">
        <v>119</v>
      </c>
      <c r="E611" t="s">
        <v>236</v>
      </c>
      <c r="F611">
        <v>123625.60000000001</v>
      </c>
      <c r="G611">
        <v>1000</v>
      </c>
      <c r="H611">
        <v>597</v>
      </c>
    </row>
    <row r="612" spans="1:8" x14ac:dyDescent="0.3">
      <c r="A612">
        <v>2021</v>
      </c>
      <c r="B612" t="s">
        <v>25</v>
      </c>
      <c r="C612" t="s">
        <v>15</v>
      </c>
      <c r="D612" t="s">
        <v>190</v>
      </c>
      <c r="E612" t="s">
        <v>232</v>
      </c>
      <c r="F612">
        <v>128292</v>
      </c>
      <c r="G612">
        <v>156</v>
      </c>
      <c r="H612">
        <v>54</v>
      </c>
    </row>
    <row r="613" spans="1:8" x14ac:dyDescent="0.3">
      <c r="A613">
        <v>2021</v>
      </c>
      <c r="B613" t="s">
        <v>27</v>
      </c>
      <c r="C613" t="s">
        <v>8</v>
      </c>
      <c r="D613" t="s">
        <v>86</v>
      </c>
      <c r="E613" t="s">
        <v>233</v>
      </c>
      <c r="F613">
        <v>129596.32</v>
      </c>
      <c r="G613">
        <v>342</v>
      </c>
      <c r="H613">
        <v>968</v>
      </c>
    </row>
    <row r="614" spans="1:8" x14ac:dyDescent="0.3">
      <c r="A614">
        <v>2021</v>
      </c>
      <c r="B614" t="s">
        <v>21</v>
      </c>
      <c r="C614" t="s">
        <v>16</v>
      </c>
      <c r="D614" t="s">
        <v>62</v>
      </c>
      <c r="E614" t="s">
        <v>231</v>
      </c>
      <c r="F614">
        <v>143687.04000000001</v>
      </c>
      <c r="G614">
        <v>537</v>
      </c>
      <c r="H614">
        <v>970</v>
      </c>
    </row>
    <row r="615" spans="1:8" x14ac:dyDescent="0.3">
      <c r="A615">
        <v>2021</v>
      </c>
      <c r="B615" t="s">
        <v>21</v>
      </c>
      <c r="C615" t="s">
        <v>15</v>
      </c>
      <c r="D615" t="s">
        <v>178</v>
      </c>
      <c r="E615" t="s">
        <v>229</v>
      </c>
      <c r="F615">
        <v>145079.20000000001</v>
      </c>
      <c r="G615">
        <v>232</v>
      </c>
      <c r="H615">
        <v>351</v>
      </c>
    </row>
    <row r="616" spans="1:8" x14ac:dyDescent="0.3">
      <c r="A616">
        <v>2021</v>
      </c>
      <c r="B616" t="s">
        <v>21</v>
      </c>
      <c r="C616" t="s">
        <v>16</v>
      </c>
      <c r="D616" t="s">
        <v>118</v>
      </c>
      <c r="E616" t="s">
        <v>228</v>
      </c>
      <c r="F616">
        <v>148080.79999999999</v>
      </c>
      <c r="G616">
        <v>537</v>
      </c>
      <c r="H616">
        <v>970</v>
      </c>
    </row>
    <row r="617" spans="1:8" x14ac:dyDescent="0.3">
      <c r="A617">
        <v>2021</v>
      </c>
      <c r="B617" t="s">
        <v>18</v>
      </c>
      <c r="C617" t="s">
        <v>15</v>
      </c>
      <c r="D617" t="s">
        <v>40</v>
      </c>
      <c r="E617" t="s">
        <v>229</v>
      </c>
      <c r="F617">
        <v>149596</v>
      </c>
      <c r="G617">
        <v>137</v>
      </c>
      <c r="H617">
        <v>784</v>
      </c>
    </row>
    <row r="618" spans="1:8" x14ac:dyDescent="0.3">
      <c r="A618">
        <v>2021</v>
      </c>
      <c r="B618" t="s">
        <v>20</v>
      </c>
      <c r="C618" t="s">
        <v>15</v>
      </c>
      <c r="D618" t="s">
        <v>54</v>
      </c>
      <c r="E618" t="s">
        <v>236</v>
      </c>
      <c r="F618">
        <v>151026.4</v>
      </c>
      <c r="G618">
        <v>389</v>
      </c>
      <c r="H618">
        <v>930</v>
      </c>
    </row>
    <row r="619" spans="1:8" x14ac:dyDescent="0.3">
      <c r="A619">
        <v>2021</v>
      </c>
      <c r="B619" t="s">
        <v>25</v>
      </c>
      <c r="C619" t="s">
        <v>17</v>
      </c>
      <c r="D619" t="s">
        <v>223</v>
      </c>
      <c r="E619" t="s">
        <v>236</v>
      </c>
      <c r="F619">
        <v>151026.4</v>
      </c>
      <c r="G619">
        <v>934</v>
      </c>
      <c r="H619">
        <v>75</v>
      </c>
    </row>
    <row r="620" spans="1:8" x14ac:dyDescent="0.3">
      <c r="A620">
        <v>2021</v>
      </c>
      <c r="B620" t="s">
        <v>19</v>
      </c>
      <c r="C620" t="s">
        <v>15</v>
      </c>
      <c r="D620" t="s">
        <v>93</v>
      </c>
      <c r="E620" t="s">
        <v>236</v>
      </c>
      <c r="F620">
        <v>151026.4</v>
      </c>
      <c r="G620">
        <v>1000</v>
      </c>
      <c r="H620">
        <v>597</v>
      </c>
    </row>
    <row r="621" spans="1:8" x14ac:dyDescent="0.3">
      <c r="A621">
        <v>2021</v>
      </c>
      <c r="B621" t="s">
        <v>19</v>
      </c>
      <c r="C621" t="s">
        <v>17</v>
      </c>
      <c r="D621" t="s">
        <v>169</v>
      </c>
      <c r="E621" t="s">
        <v>236</v>
      </c>
      <c r="F621">
        <v>151026.4</v>
      </c>
      <c r="G621">
        <v>970</v>
      </c>
      <c r="H621">
        <v>616</v>
      </c>
    </row>
    <row r="622" spans="1:8" x14ac:dyDescent="0.3">
      <c r="A622">
        <v>2021</v>
      </c>
      <c r="B622" t="s">
        <v>20</v>
      </c>
      <c r="C622" t="s">
        <v>9</v>
      </c>
      <c r="D622" t="s">
        <v>221</v>
      </c>
      <c r="E622" t="s">
        <v>236</v>
      </c>
      <c r="F622">
        <v>151026.4</v>
      </c>
      <c r="G622">
        <v>28</v>
      </c>
      <c r="H622">
        <v>287</v>
      </c>
    </row>
    <row r="623" spans="1:8" x14ac:dyDescent="0.3">
      <c r="A623">
        <v>2021</v>
      </c>
      <c r="B623" t="s">
        <v>23</v>
      </c>
      <c r="C623" t="s">
        <v>16</v>
      </c>
      <c r="D623" t="s">
        <v>31</v>
      </c>
      <c r="E623" t="s">
        <v>236</v>
      </c>
      <c r="F623">
        <v>151026.4</v>
      </c>
      <c r="G623">
        <v>98</v>
      </c>
      <c r="H623">
        <v>968</v>
      </c>
    </row>
    <row r="624" spans="1:8" x14ac:dyDescent="0.3">
      <c r="A624">
        <v>2021</v>
      </c>
      <c r="B624" t="s">
        <v>25</v>
      </c>
      <c r="C624" t="s">
        <v>12</v>
      </c>
      <c r="D624" t="s">
        <v>180</v>
      </c>
      <c r="E624" t="s">
        <v>236</v>
      </c>
      <c r="F624">
        <v>151026.4</v>
      </c>
      <c r="G624">
        <v>851</v>
      </c>
      <c r="H624">
        <v>162</v>
      </c>
    </row>
    <row r="625" spans="1:8" x14ac:dyDescent="0.3">
      <c r="A625">
        <v>2021</v>
      </c>
      <c r="B625" t="s">
        <v>25</v>
      </c>
      <c r="C625" t="s">
        <v>17</v>
      </c>
      <c r="D625" t="s">
        <v>183</v>
      </c>
      <c r="E625" t="s">
        <v>236</v>
      </c>
      <c r="F625">
        <v>151026.4</v>
      </c>
      <c r="G625">
        <v>934</v>
      </c>
      <c r="H625">
        <v>75</v>
      </c>
    </row>
    <row r="626" spans="1:8" x14ac:dyDescent="0.3">
      <c r="A626">
        <v>2021</v>
      </c>
      <c r="B626" t="s">
        <v>20</v>
      </c>
      <c r="C626" t="s">
        <v>15</v>
      </c>
      <c r="D626" t="s">
        <v>165</v>
      </c>
      <c r="E626" t="s">
        <v>236</v>
      </c>
      <c r="F626">
        <v>151026.4</v>
      </c>
      <c r="G626">
        <v>389</v>
      </c>
      <c r="H626">
        <v>930</v>
      </c>
    </row>
    <row r="627" spans="1:8" x14ac:dyDescent="0.3">
      <c r="A627">
        <v>2021</v>
      </c>
      <c r="B627" t="s">
        <v>19</v>
      </c>
      <c r="C627" t="s">
        <v>15</v>
      </c>
      <c r="D627" t="s">
        <v>141</v>
      </c>
      <c r="E627" t="s">
        <v>236</v>
      </c>
      <c r="F627">
        <v>151026.4</v>
      </c>
      <c r="G627">
        <v>1000</v>
      </c>
      <c r="H627">
        <v>597</v>
      </c>
    </row>
    <row r="628" spans="1:8" x14ac:dyDescent="0.3">
      <c r="A628">
        <v>2021</v>
      </c>
      <c r="B628" t="s">
        <v>20</v>
      </c>
      <c r="C628" t="s">
        <v>9</v>
      </c>
      <c r="D628" t="s">
        <v>218</v>
      </c>
      <c r="E628" t="s">
        <v>236</v>
      </c>
      <c r="F628">
        <v>151026.4</v>
      </c>
      <c r="G628">
        <v>28</v>
      </c>
      <c r="H628">
        <v>287</v>
      </c>
    </row>
    <row r="629" spans="1:8" x14ac:dyDescent="0.3">
      <c r="A629">
        <v>2021</v>
      </c>
      <c r="B629" t="s">
        <v>19</v>
      </c>
      <c r="C629" t="s">
        <v>17</v>
      </c>
      <c r="D629" t="s">
        <v>117</v>
      </c>
      <c r="E629" t="s">
        <v>236</v>
      </c>
      <c r="F629">
        <v>151026.4</v>
      </c>
      <c r="G629">
        <v>970</v>
      </c>
      <c r="H629">
        <v>616</v>
      </c>
    </row>
    <row r="630" spans="1:8" x14ac:dyDescent="0.3">
      <c r="A630">
        <v>2021</v>
      </c>
      <c r="B630" t="s">
        <v>20</v>
      </c>
      <c r="C630" t="s">
        <v>9</v>
      </c>
      <c r="D630" t="s">
        <v>114</v>
      </c>
      <c r="E630" t="s">
        <v>236</v>
      </c>
      <c r="F630">
        <v>151026.4</v>
      </c>
      <c r="G630">
        <v>28</v>
      </c>
      <c r="H630">
        <v>287</v>
      </c>
    </row>
    <row r="631" spans="1:8" x14ac:dyDescent="0.3">
      <c r="A631">
        <v>2021</v>
      </c>
      <c r="B631" t="s">
        <v>20</v>
      </c>
      <c r="C631" t="s">
        <v>9</v>
      </c>
      <c r="D631" t="s">
        <v>164</v>
      </c>
      <c r="E631" t="s">
        <v>236</v>
      </c>
      <c r="F631">
        <v>151026.4</v>
      </c>
      <c r="G631">
        <v>28</v>
      </c>
      <c r="H631">
        <v>287</v>
      </c>
    </row>
    <row r="632" spans="1:8" x14ac:dyDescent="0.3">
      <c r="A632">
        <v>2021</v>
      </c>
      <c r="B632" t="s">
        <v>20</v>
      </c>
      <c r="C632" t="s">
        <v>14</v>
      </c>
      <c r="D632" t="s">
        <v>102</v>
      </c>
      <c r="E632" t="s">
        <v>228</v>
      </c>
      <c r="F632">
        <v>164317.44</v>
      </c>
      <c r="G632">
        <v>299</v>
      </c>
      <c r="H632">
        <v>975</v>
      </c>
    </row>
    <row r="633" spans="1:8" x14ac:dyDescent="0.3">
      <c r="A633">
        <v>2021</v>
      </c>
      <c r="B633" t="s">
        <v>19</v>
      </c>
      <c r="C633" t="s">
        <v>17</v>
      </c>
      <c r="D633" t="s">
        <v>45</v>
      </c>
      <c r="E633" t="s">
        <v>232</v>
      </c>
      <c r="F633">
        <v>165638</v>
      </c>
      <c r="G633">
        <v>150</v>
      </c>
      <c r="H633">
        <v>413</v>
      </c>
    </row>
    <row r="634" spans="1:8" x14ac:dyDescent="0.3">
      <c r="A634">
        <v>2021</v>
      </c>
      <c r="B634" t="s">
        <v>23</v>
      </c>
      <c r="C634" t="s">
        <v>16</v>
      </c>
      <c r="D634" t="s">
        <v>154</v>
      </c>
      <c r="E634" t="s">
        <v>236</v>
      </c>
      <c r="F634">
        <v>166970.72</v>
      </c>
      <c r="G634">
        <v>98</v>
      </c>
      <c r="H634">
        <v>968</v>
      </c>
    </row>
    <row r="635" spans="1:8" x14ac:dyDescent="0.3">
      <c r="A635">
        <v>2021</v>
      </c>
      <c r="B635" t="s">
        <v>19</v>
      </c>
      <c r="C635" t="s">
        <v>16</v>
      </c>
      <c r="D635" t="s">
        <v>226</v>
      </c>
      <c r="E635" t="s">
        <v>235</v>
      </c>
      <c r="F635">
        <v>170051.84</v>
      </c>
      <c r="G635">
        <v>268</v>
      </c>
      <c r="H635">
        <v>118</v>
      </c>
    </row>
    <row r="636" spans="1:8" x14ac:dyDescent="0.3">
      <c r="A636">
        <v>2021</v>
      </c>
      <c r="B636" t="s">
        <v>27</v>
      </c>
      <c r="C636" t="s">
        <v>10</v>
      </c>
      <c r="D636" t="s">
        <v>92</v>
      </c>
      <c r="E636" t="s">
        <v>232</v>
      </c>
      <c r="F636">
        <v>170291.52</v>
      </c>
      <c r="G636">
        <v>871</v>
      </c>
      <c r="H636">
        <v>810</v>
      </c>
    </row>
    <row r="637" spans="1:8" x14ac:dyDescent="0.3">
      <c r="A637">
        <v>2021</v>
      </c>
      <c r="B637" t="s">
        <v>19</v>
      </c>
      <c r="C637" t="s">
        <v>17</v>
      </c>
      <c r="D637" t="s">
        <v>47</v>
      </c>
      <c r="E637" t="s">
        <v>230</v>
      </c>
      <c r="F637">
        <v>177635</v>
      </c>
      <c r="G637">
        <v>957</v>
      </c>
      <c r="H637">
        <v>210</v>
      </c>
    </row>
    <row r="638" spans="1:8" x14ac:dyDescent="0.3">
      <c r="A638">
        <v>2021</v>
      </c>
      <c r="B638" t="s">
        <v>24</v>
      </c>
      <c r="C638" t="s">
        <v>12</v>
      </c>
      <c r="D638" t="s">
        <v>214</v>
      </c>
      <c r="E638" t="s">
        <v>233</v>
      </c>
      <c r="F638">
        <v>181082.72</v>
      </c>
      <c r="G638">
        <v>869</v>
      </c>
      <c r="H638">
        <v>930</v>
      </c>
    </row>
    <row r="639" spans="1:8" x14ac:dyDescent="0.3">
      <c r="A639">
        <v>2021</v>
      </c>
      <c r="B639" t="s">
        <v>21</v>
      </c>
      <c r="C639" t="s">
        <v>14</v>
      </c>
      <c r="D639" t="s">
        <v>50</v>
      </c>
      <c r="E639" t="s">
        <v>232</v>
      </c>
      <c r="F639">
        <v>184155</v>
      </c>
      <c r="G639">
        <v>461</v>
      </c>
      <c r="H639">
        <v>615</v>
      </c>
    </row>
    <row r="640" spans="1:8" x14ac:dyDescent="0.3">
      <c r="A640">
        <v>2021</v>
      </c>
      <c r="B640" t="s">
        <v>21</v>
      </c>
      <c r="C640" t="s">
        <v>15</v>
      </c>
      <c r="D640" t="s">
        <v>56</v>
      </c>
      <c r="E640" t="s">
        <v>231</v>
      </c>
      <c r="F640">
        <v>185506.72</v>
      </c>
      <c r="G640">
        <v>166</v>
      </c>
      <c r="H640">
        <v>934</v>
      </c>
    </row>
    <row r="641" spans="1:8" x14ac:dyDescent="0.3">
      <c r="A641">
        <v>2021</v>
      </c>
      <c r="B641" t="s">
        <v>21</v>
      </c>
      <c r="C641" t="s">
        <v>9</v>
      </c>
      <c r="D641" t="s">
        <v>120</v>
      </c>
      <c r="E641" t="s">
        <v>234</v>
      </c>
      <c r="F641">
        <v>186455.36</v>
      </c>
      <c r="G641">
        <v>597</v>
      </c>
      <c r="H641">
        <v>287</v>
      </c>
    </row>
    <row r="642" spans="1:8" x14ac:dyDescent="0.3">
      <c r="A642">
        <v>2021</v>
      </c>
      <c r="B642" t="s">
        <v>26</v>
      </c>
      <c r="C642" t="s">
        <v>11</v>
      </c>
      <c r="D642" t="s">
        <v>43</v>
      </c>
      <c r="E642" t="s">
        <v>234</v>
      </c>
      <c r="F642">
        <v>186455.36</v>
      </c>
      <c r="G642">
        <v>60</v>
      </c>
      <c r="H642">
        <v>849</v>
      </c>
    </row>
    <row r="643" spans="1:8" x14ac:dyDescent="0.3">
      <c r="A643">
        <v>2021</v>
      </c>
      <c r="B643" t="s">
        <v>27</v>
      </c>
      <c r="C643" t="s">
        <v>11</v>
      </c>
      <c r="D643" t="s">
        <v>137</v>
      </c>
      <c r="E643" t="s">
        <v>234</v>
      </c>
      <c r="F643">
        <v>186455.36</v>
      </c>
      <c r="G643">
        <v>515</v>
      </c>
      <c r="H643">
        <v>210</v>
      </c>
    </row>
    <row r="644" spans="1:8" x14ac:dyDescent="0.3">
      <c r="A644">
        <v>2021</v>
      </c>
      <c r="B644" t="s">
        <v>27</v>
      </c>
      <c r="C644" t="s">
        <v>15</v>
      </c>
      <c r="D644" t="s">
        <v>175</v>
      </c>
      <c r="E644" t="s">
        <v>234</v>
      </c>
      <c r="F644">
        <v>186455.36</v>
      </c>
      <c r="G644">
        <v>734</v>
      </c>
      <c r="H644">
        <v>568</v>
      </c>
    </row>
    <row r="645" spans="1:8" x14ac:dyDescent="0.3">
      <c r="A645">
        <v>2021</v>
      </c>
      <c r="B645" t="s">
        <v>27</v>
      </c>
      <c r="C645" t="s">
        <v>14</v>
      </c>
      <c r="D645" t="s">
        <v>193</v>
      </c>
      <c r="E645" t="s">
        <v>234</v>
      </c>
      <c r="F645">
        <v>186455.36</v>
      </c>
      <c r="G645">
        <v>749</v>
      </c>
      <c r="H645">
        <v>648</v>
      </c>
    </row>
    <row r="646" spans="1:8" x14ac:dyDescent="0.3">
      <c r="A646">
        <v>2021</v>
      </c>
      <c r="B646" t="s">
        <v>27</v>
      </c>
      <c r="C646" t="s">
        <v>15</v>
      </c>
      <c r="D646" t="s">
        <v>111</v>
      </c>
      <c r="E646" t="s">
        <v>234</v>
      </c>
      <c r="F646">
        <v>186455.36</v>
      </c>
      <c r="G646">
        <v>734</v>
      </c>
      <c r="H646">
        <v>568</v>
      </c>
    </row>
    <row r="647" spans="1:8" x14ac:dyDescent="0.3">
      <c r="A647">
        <v>2021</v>
      </c>
      <c r="B647" t="s">
        <v>27</v>
      </c>
      <c r="C647" t="s">
        <v>17</v>
      </c>
      <c r="D647" t="s">
        <v>95</v>
      </c>
      <c r="E647" t="s">
        <v>234</v>
      </c>
      <c r="F647">
        <v>186455.36</v>
      </c>
      <c r="G647">
        <v>479</v>
      </c>
      <c r="H647">
        <v>934</v>
      </c>
    </row>
    <row r="648" spans="1:8" x14ac:dyDescent="0.3">
      <c r="A648">
        <v>2021</v>
      </c>
      <c r="B648" t="s">
        <v>27</v>
      </c>
      <c r="C648" t="s">
        <v>8</v>
      </c>
      <c r="D648" t="s">
        <v>182</v>
      </c>
      <c r="E648" t="s">
        <v>234</v>
      </c>
      <c r="F648">
        <v>186455.36</v>
      </c>
      <c r="G648">
        <v>774</v>
      </c>
      <c r="H648">
        <v>33</v>
      </c>
    </row>
    <row r="649" spans="1:8" x14ac:dyDescent="0.3">
      <c r="A649">
        <v>2021</v>
      </c>
      <c r="B649" t="s">
        <v>23</v>
      </c>
      <c r="C649" t="s">
        <v>15</v>
      </c>
      <c r="D649" t="s">
        <v>55</v>
      </c>
      <c r="E649" t="s">
        <v>231</v>
      </c>
      <c r="F649">
        <v>196146</v>
      </c>
      <c r="G649">
        <v>849</v>
      </c>
      <c r="H649">
        <v>156</v>
      </c>
    </row>
    <row r="650" spans="1:8" x14ac:dyDescent="0.3">
      <c r="A650">
        <v>2021</v>
      </c>
      <c r="B650" t="s">
        <v>27</v>
      </c>
      <c r="C650" t="s">
        <v>10</v>
      </c>
      <c r="D650" t="s">
        <v>44</v>
      </c>
      <c r="E650" t="s">
        <v>232</v>
      </c>
      <c r="F650">
        <v>198951.2</v>
      </c>
      <c r="G650">
        <v>871</v>
      </c>
      <c r="H650">
        <v>810</v>
      </c>
    </row>
    <row r="651" spans="1:8" x14ac:dyDescent="0.3">
      <c r="A651">
        <v>2021</v>
      </c>
      <c r="B651" t="s">
        <v>21</v>
      </c>
      <c r="C651" t="s">
        <v>13</v>
      </c>
      <c r="D651" t="s">
        <v>98</v>
      </c>
      <c r="E651" t="s">
        <v>232</v>
      </c>
      <c r="F651">
        <v>199691.51999999999</v>
      </c>
      <c r="G651">
        <v>61</v>
      </c>
      <c r="H651">
        <v>28</v>
      </c>
    </row>
    <row r="652" spans="1:8" x14ac:dyDescent="0.3">
      <c r="A652">
        <v>2021</v>
      </c>
      <c r="B652" t="s">
        <v>19</v>
      </c>
      <c r="C652" t="s">
        <v>17</v>
      </c>
      <c r="D652" t="s">
        <v>161</v>
      </c>
      <c r="E652" t="s">
        <v>229</v>
      </c>
      <c r="F652">
        <v>204794.23999999999</v>
      </c>
      <c r="G652">
        <v>957</v>
      </c>
      <c r="H652">
        <v>210</v>
      </c>
    </row>
    <row r="653" spans="1:8" x14ac:dyDescent="0.3">
      <c r="A653">
        <v>2021</v>
      </c>
      <c r="B653" t="s">
        <v>23</v>
      </c>
      <c r="C653" t="s">
        <v>9</v>
      </c>
      <c r="D653" t="s">
        <v>39</v>
      </c>
      <c r="E653" t="s">
        <v>235</v>
      </c>
      <c r="F653">
        <v>206253.6</v>
      </c>
      <c r="G653">
        <v>351</v>
      </c>
      <c r="H653">
        <v>918</v>
      </c>
    </row>
    <row r="654" spans="1:8" x14ac:dyDescent="0.3">
      <c r="A654">
        <v>2021</v>
      </c>
      <c r="B654" t="s">
        <v>22</v>
      </c>
      <c r="C654" t="s">
        <v>9</v>
      </c>
      <c r="D654" t="s">
        <v>42</v>
      </c>
      <c r="E654" t="s">
        <v>233</v>
      </c>
      <c r="F654">
        <v>209059.20000000001</v>
      </c>
      <c r="G654">
        <v>573</v>
      </c>
      <c r="H654">
        <v>784</v>
      </c>
    </row>
    <row r="655" spans="1:8" x14ac:dyDescent="0.3">
      <c r="A655">
        <v>2021</v>
      </c>
      <c r="B655" t="s">
        <v>24</v>
      </c>
      <c r="C655" t="s">
        <v>12</v>
      </c>
      <c r="D655" t="s">
        <v>210</v>
      </c>
      <c r="E655" t="s">
        <v>233</v>
      </c>
      <c r="F655">
        <v>209059.20000000001</v>
      </c>
      <c r="G655">
        <v>869</v>
      </c>
      <c r="H655">
        <v>930</v>
      </c>
    </row>
    <row r="656" spans="1:8" x14ac:dyDescent="0.3">
      <c r="A656">
        <v>2021</v>
      </c>
      <c r="B656" t="s">
        <v>27</v>
      </c>
      <c r="C656" t="s">
        <v>9</v>
      </c>
      <c r="D656" t="s">
        <v>205</v>
      </c>
      <c r="E656" t="s">
        <v>233</v>
      </c>
      <c r="F656">
        <v>209059.20000000001</v>
      </c>
      <c r="G656">
        <v>810</v>
      </c>
      <c r="H656">
        <v>657</v>
      </c>
    </row>
    <row r="657" spans="1:8" x14ac:dyDescent="0.3">
      <c r="A657">
        <v>2021</v>
      </c>
      <c r="B657" t="s">
        <v>25</v>
      </c>
      <c r="C657" t="s">
        <v>8</v>
      </c>
      <c r="D657" t="s">
        <v>184</v>
      </c>
      <c r="E657" t="s">
        <v>234</v>
      </c>
      <c r="F657">
        <v>209059.20000000001</v>
      </c>
      <c r="G657">
        <v>616</v>
      </c>
      <c r="H657">
        <v>398</v>
      </c>
    </row>
    <row r="658" spans="1:8" x14ac:dyDescent="0.3">
      <c r="A658">
        <v>2021</v>
      </c>
      <c r="B658" t="s">
        <v>25</v>
      </c>
      <c r="C658" t="s">
        <v>8</v>
      </c>
      <c r="D658" t="s">
        <v>217</v>
      </c>
      <c r="E658" t="s">
        <v>234</v>
      </c>
      <c r="F658">
        <v>209059.20000000001</v>
      </c>
      <c r="G658">
        <v>616</v>
      </c>
      <c r="H658">
        <v>398</v>
      </c>
    </row>
    <row r="659" spans="1:8" x14ac:dyDescent="0.3">
      <c r="A659">
        <v>2021</v>
      </c>
      <c r="B659" t="s">
        <v>24</v>
      </c>
      <c r="C659" t="s">
        <v>13</v>
      </c>
      <c r="D659" t="s">
        <v>106</v>
      </c>
      <c r="E659" t="s">
        <v>234</v>
      </c>
      <c r="F659">
        <v>209059.20000000001</v>
      </c>
      <c r="G659">
        <v>591</v>
      </c>
      <c r="H659">
        <v>810</v>
      </c>
    </row>
    <row r="660" spans="1:8" x14ac:dyDescent="0.3">
      <c r="A660">
        <v>2021</v>
      </c>
      <c r="B660" t="s">
        <v>27</v>
      </c>
      <c r="C660" t="s">
        <v>9</v>
      </c>
      <c r="D660" t="s">
        <v>176</v>
      </c>
      <c r="E660" t="s">
        <v>232</v>
      </c>
      <c r="F660">
        <v>209059.20000000001</v>
      </c>
      <c r="G660">
        <v>810</v>
      </c>
      <c r="H660">
        <v>657</v>
      </c>
    </row>
    <row r="661" spans="1:8" x14ac:dyDescent="0.3">
      <c r="A661">
        <v>2021</v>
      </c>
      <c r="B661" t="s">
        <v>21</v>
      </c>
      <c r="C661" t="s">
        <v>16</v>
      </c>
      <c r="D661" t="s">
        <v>41</v>
      </c>
      <c r="E661" t="s">
        <v>232</v>
      </c>
      <c r="F661">
        <v>209059.20000000001</v>
      </c>
      <c r="G661">
        <v>537</v>
      </c>
      <c r="H661">
        <v>970</v>
      </c>
    </row>
    <row r="662" spans="1:8" x14ac:dyDescent="0.3">
      <c r="A662">
        <v>2021</v>
      </c>
      <c r="B662" t="s">
        <v>19</v>
      </c>
      <c r="C662" t="s">
        <v>16</v>
      </c>
      <c r="D662" t="s">
        <v>188</v>
      </c>
      <c r="E662" t="s">
        <v>229</v>
      </c>
      <c r="F662">
        <v>209059.20000000001</v>
      </c>
      <c r="G662">
        <v>268</v>
      </c>
      <c r="H662">
        <v>118</v>
      </c>
    </row>
    <row r="663" spans="1:8" x14ac:dyDescent="0.3">
      <c r="A663">
        <v>2021</v>
      </c>
      <c r="B663" t="s">
        <v>26</v>
      </c>
      <c r="C663" t="s">
        <v>11</v>
      </c>
      <c r="D663" t="s">
        <v>67</v>
      </c>
      <c r="E663" t="s">
        <v>229</v>
      </c>
      <c r="F663">
        <v>209059.20000000001</v>
      </c>
      <c r="G663">
        <v>60</v>
      </c>
      <c r="H663">
        <v>849</v>
      </c>
    </row>
    <row r="664" spans="1:8" x14ac:dyDescent="0.3">
      <c r="A664">
        <v>2021</v>
      </c>
      <c r="B664" t="s">
        <v>19</v>
      </c>
      <c r="C664" t="s">
        <v>17</v>
      </c>
      <c r="D664" t="s">
        <v>36</v>
      </c>
      <c r="E664" t="s">
        <v>229</v>
      </c>
      <c r="F664">
        <v>209059.20000000001</v>
      </c>
      <c r="G664">
        <v>150</v>
      </c>
      <c r="H664">
        <v>413</v>
      </c>
    </row>
    <row r="665" spans="1:8" x14ac:dyDescent="0.3">
      <c r="A665">
        <v>2021</v>
      </c>
      <c r="B665" t="s">
        <v>22</v>
      </c>
      <c r="C665" t="s">
        <v>14</v>
      </c>
      <c r="D665" t="s">
        <v>57</v>
      </c>
      <c r="E665" t="s">
        <v>235</v>
      </c>
      <c r="F665">
        <v>209059.20000000001</v>
      </c>
      <c r="G665">
        <v>843</v>
      </c>
      <c r="H665">
        <v>839</v>
      </c>
    </row>
    <row r="666" spans="1:8" x14ac:dyDescent="0.3">
      <c r="A666">
        <v>2021</v>
      </c>
      <c r="B666" t="s">
        <v>26</v>
      </c>
      <c r="C666" t="s">
        <v>12</v>
      </c>
      <c r="D666" t="s">
        <v>179</v>
      </c>
      <c r="E666" t="s">
        <v>231</v>
      </c>
      <c r="F666">
        <v>209059.20000000001</v>
      </c>
      <c r="G666">
        <v>929</v>
      </c>
      <c r="H666">
        <v>590</v>
      </c>
    </row>
    <row r="667" spans="1:8" x14ac:dyDescent="0.3">
      <c r="A667">
        <v>2021</v>
      </c>
      <c r="B667" t="s">
        <v>20</v>
      </c>
      <c r="C667" t="s">
        <v>15</v>
      </c>
      <c r="D667" t="s">
        <v>33</v>
      </c>
      <c r="E667" t="s">
        <v>231</v>
      </c>
      <c r="F667">
        <v>209059.20000000001</v>
      </c>
      <c r="G667">
        <v>389</v>
      </c>
      <c r="H667">
        <v>930</v>
      </c>
    </row>
    <row r="668" spans="1:8" x14ac:dyDescent="0.3">
      <c r="A668">
        <v>2021</v>
      </c>
      <c r="B668" t="s">
        <v>18</v>
      </c>
      <c r="C668" t="s">
        <v>8</v>
      </c>
      <c r="D668" t="s">
        <v>76</v>
      </c>
      <c r="E668" t="s">
        <v>231</v>
      </c>
      <c r="F668">
        <v>209059.20000000001</v>
      </c>
      <c r="G668">
        <v>256</v>
      </c>
      <c r="H668">
        <v>839</v>
      </c>
    </row>
    <row r="669" spans="1:8" x14ac:dyDescent="0.3">
      <c r="A669">
        <v>2021</v>
      </c>
      <c r="B669" t="s">
        <v>25</v>
      </c>
      <c r="C669" t="s">
        <v>13</v>
      </c>
      <c r="D669" t="s">
        <v>35</v>
      </c>
      <c r="E669" t="s">
        <v>228</v>
      </c>
      <c r="F669">
        <v>209059.20000000001</v>
      </c>
      <c r="G669">
        <v>739</v>
      </c>
      <c r="H669">
        <v>105</v>
      </c>
    </row>
    <row r="670" spans="1:8" x14ac:dyDescent="0.3">
      <c r="A670">
        <v>2021</v>
      </c>
      <c r="B670" t="s">
        <v>21</v>
      </c>
      <c r="C670" t="s">
        <v>10</v>
      </c>
      <c r="D670" t="s">
        <v>87</v>
      </c>
      <c r="E670" t="s">
        <v>228</v>
      </c>
      <c r="F670">
        <v>209059.20000000001</v>
      </c>
      <c r="G670">
        <v>975</v>
      </c>
      <c r="H670">
        <v>282</v>
      </c>
    </row>
    <row r="671" spans="1:8" x14ac:dyDescent="0.3">
      <c r="A671">
        <v>2021</v>
      </c>
      <c r="B671" t="s">
        <v>21</v>
      </c>
      <c r="C671" t="s">
        <v>9</v>
      </c>
      <c r="D671" t="s">
        <v>48</v>
      </c>
      <c r="E671" t="s">
        <v>228</v>
      </c>
      <c r="F671">
        <v>209059.20000000001</v>
      </c>
      <c r="G671">
        <v>86</v>
      </c>
      <c r="H671">
        <v>232</v>
      </c>
    </row>
    <row r="672" spans="1:8" x14ac:dyDescent="0.3">
      <c r="A672">
        <v>2021</v>
      </c>
      <c r="B672" t="s">
        <v>20</v>
      </c>
      <c r="C672" t="s">
        <v>8</v>
      </c>
      <c r="D672" t="s">
        <v>224</v>
      </c>
      <c r="E672" t="s">
        <v>228</v>
      </c>
      <c r="F672">
        <v>209059.20000000001</v>
      </c>
      <c r="G672">
        <v>386</v>
      </c>
      <c r="H672">
        <v>287</v>
      </c>
    </row>
    <row r="673" spans="1:8" x14ac:dyDescent="0.3">
      <c r="A673">
        <v>2021</v>
      </c>
      <c r="B673" t="s">
        <v>24</v>
      </c>
      <c r="C673" t="s">
        <v>13</v>
      </c>
      <c r="D673" t="s">
        <v>59</v>
      </c>
      <c r="E673" t="s">
        <v>235</v>
      </c>
      <c r="F673">
        <v>213353</v>
      </c>
      <c r="G673">
        <v>591</v>
      </c>
      <c r="H673">
        <v>810</v>
      </c>
    </row>
    <row r="674" spans="1:8" x14ac:dyDescent="0.3">
      <c r="A674">
        <v>2021</v>
      </c>
      <c r="B674" t="s">
        <v>25</v>
      </c>
      <c r="C674" t="s">
        <v>11</v>
      </c>
      <c r="D674" t="s">
        <v>30</v>
      </c>
      <c r="E674" t="s">
        <v>234</v>
      </c>
      <c r="F674">
        <v>219683.52</v>
      </c>
      <c r="G674">
        <v>515</v>
      </c>
      <c r="H674">
        <v>210</v>
      </c>
    </row>
    <row r="675" spans="1:8" x14ac:dyDescent="0.3">
      <c r="A675">
        <v>2021</v>
      </c>
      <c r="B675" t="s">
        <v>20</v>
      </c>
      <c r="C675" t="s">
        <v>14</v>
      </c>
      <c r="D675" t="s">
        <v>61</v>
      </c>
      <c r="E675" t="s">
        <v>231</v>
      </c>
      <c r="F675">
        <v>223444</v>
      </c>
      <c r="G675">
        <v>299</v>
      </c>
      <c r="H675">
        <v>975</v>
      </c>
    </row>
    <row r="676" spans="1:8" x14ac:dyDescent="0.3">
      <c r="A676">
        <v>2021</v>
      </c>
      <c r="B676" t="s">
        <v>26</v>
      </c>
      <c r="C676" t="s">
        <v>11</v>
      </c>
      <c r="D676" t="s">
        <v>29</v>
      </c>
      <c r="E676" t="s">
        <v>234</v>
      </c>
      <c r="F676">
        <v>225676.64</v>
      </c>
      <c r="G676">
        <v>60</v>
      </c>
      <c r="H676">
        <v>849</v>
      </c>
    </row>
    <row r="677" spans="1:8" x14ac:dyDescent="0.3">
      <c r="A677">
        <v>2021</v>
      </c>
      <c r="B677" t="s">
        <v>25</v>
      </c>
      <c r="C677" t="s">
        <v>15</v>
      </c>
      <c r="D677" t="s">
        <v>216</v>
      </c>
      <c r="E677" t="s">
        <v>232</v>
      </c>
      <c r="F677">
        <v>230400.8</v>
      </c>
      <c r="G677">
        <v>156</v>
      </c>
      <c r="H677">
        <v>54</v>
      </c>
    </row>
    <row r="678" spans="1:8" x14ac:dyDescent="0.3">
      <c r="A678">
        <v>2021</v>
      </c>
      <c r="B678" t="s">
        <v>24</v>
      </c>
      <c r="C678" t="s">
        <v>15</v>
      </c>
      <c r="D678" t="s">
        <v>177</v>
      </c>
      <c r="E678" t="s">
        <v>229</v>
      </c>
      <c r="F678">
        <v>234766.56</v>
      </c>
      <c r="G678">
        <v>873</v>
      </c>
      <c r="H678">
        <v>287</v>
      </c>
    </row>
    <row r="679" spans="1:8" x14ac:dyDescent="0.3">
      <c r="A679">
        <v>2021</v>
      </c>
      <c r="B679" t="s">
        <v>25</v>
      </c>
      <c r="C679" t="s">
        <v>15</v>
      </c>
      <c r="D679" t="s">
        <v>63</v>
      </c>
      <c r="E679" t="s">
        <v>231</v>
      </c>
      <c r="F679">
        <v>235018</v>
      </c>
      <c r="G679">
        <v>610</v>
      </c>
      <c r="H679">
        <v>851</v>
      </c>
    </row>
    <row r="680" spans="1:8" x14ac:dyDescent="0.3">
      <c r="A680">
        <v>2021</v>
      </c>
      <c r="B680" t="s">
        <v>25</v>
      </c>
      <c r="C680" t="s">
        <v>9</v>
      </c>
      <c r="D680" t="s">
        <v>189</v>
      </c>
      <c r="E680" t="s">
        <v>231</v>
      </c>
      <c r="F680">
        <v>244617.408</v>
      </c>
      <c r="G680">
        <v>601</v>
      </c>
      <c r="H680">
        <v>413</v>
      </c>
    </row>
    <row r="681" spans="1:8" x14ac:dyDescent="0.3">
      <c r="A681">
        <v>2021</v>
      </c>
      <c r="B681" t="s">
        <v>25</v>
      </c>
      <c r="C681" t="s">
        <v>15</v>
      </c>
      <c r="D681" t="s">
        <v>138</v>
      </c>
      <c r="E681" t="s">
        <v>232</v>
      </c>
      <c r="F681">
        <v>249211.2</v>
      </c>
      <c r="G681">
        <v>156</v>
      </c>
      <c r="H681">
        <v>54</v>
      </c>
    </row>
    <row r="682" spans="1:8" x14ac:dyDescent="0.3">
      <c r="A682">
        <v>2021</v>
      </c>
      <c r="B682" t="s">
        <v>27</v>
      </c>
      <c r="C682" t="s">
        <v>9</v>
      </c>
      <c r="D682" t="s">
        <v>49</v>
      </c>
      <c r="E682" t="s">
        <v>229</v>
      </c>
      <c r="F682">
        <v>250257.28</v>
      </c>
      <c r="G682">
        <v>962</v>
      </c>
      <c r="H682">
        <v>28</v>
      </c>
    </row>
    <row r="683" spans="1:8" x14ac:dyDescent="0.3">
      <c r="A683">
        <v>2021</v>
      </c>
      <c r="B683" t="s">
        <v>23</v>
      </c>
      <c r="C683" t="s">
        <v>9</v>
      </c>
      <c r="D683" t="s">
        <v>197</v>
      </c>
      <c r="E683" t="s">
        <v>235</v>
      </c>
      <c r="F683">
        <v>255250.24</v>
      </c>
      <c r="G683">
        <v>351</v>
      </c>
      <c r="H683">
        <v>918</v>
      </c>
    </row>
    <row r="684" spans="1:8" x14ac:dyDescent="0.3">
      <c r="A684">
        <v>2021</v>
      </c>
      <c r="B684" t="s">
        <v>27</v>
      </c>
      <c r="C684" t="s">
        <v>8</v>
      </c>
      <c r="D684" t="s">
        <v>73</v>
      </c>
      <c r="E684" t="s">
        <v>233</v>
      </c>
      <c r="F684">
        <v>273798</v>
      </c>
      <c r="G684">
        <v>342</v>
      </c>
      <c r="H684">
        <v>968</v>
      </c>
    </row>
    <row r="685" spans="1:8" x14ac:dyDescent="0.3">
      <c r="A685">
        <v>2021</v>
      </c>
      <c r="B685" t="s">
        <v>27</v>
      </c>
      <c r="C685" t="s">
        <v>15</v>
      </c>
      <c r="D685" t="s">
        <v>34</v>
      </c>
      <c r="E685" t="s">
        <v>234</v>
      </c>
      <c r="F685">
        <v>275480.8</v>
      </c>
      <c r="G685">
        <v>734</v>
      </c>
      <c r="H685">
        <v>568</v>
      </c>
    </row>
    <row r="686" spans="1:8" x14ac:dyDescent="0.3">
      <c r="A686">
        <v>2021</v>
      </c>
      <c r="B686" t="s">
        <v>20</v>
      </c>
      <c r="C686" t="s">
        <v>15</v>
      </c>
      <c r="D686" t="s">
        <v>160</v>
      </c>
      <c r="E686" t="s">
        <v>236</v>
      </c>
      <c r="F686">
        <v>295234.24</v>
      </c>
      <c r="G686">
        <v>389</v>
      </c>
      <c r="H686">
        <v>930</v>
      </c>
    </row>
    <row r="687" spans="1:8" x14ac:dyDescent="0.3">
      <c r="A687">
        <v>2021</v>
      </c>
      <c r="B687" t="s">
        <v>19</v>
      </c>
      <c r="C687" t="s">
        <v>15</v>
      </c>
      <c r="D687" t="s">
        <v>75</v>
      </c>
      <c r="E687" t="s">
        <v>229</v>
      </c>
      <c r="F687">
        <v>304344</v>
      </c>
      <c r="G687">
        <v>1000</v>
      </c>
      <c r="H687">
        <v>597</v>
      </c>
    </row>
    <row r="688" spans="1:8" x14ac:dyDescent="0.3">
      <c r="A688">
        <v>2021</v>
      </c>
      <c r="B688" t="s">
        <v>21</v>
      </c>
      <c r="C688" t="s">
        <v>16</v>
      </c>
      <c r="D688" t="s">
        <v>129</v>
      </c>
      <c r="E688" t="s">
        <v>228</v>
      </c>
      <c r="F688">
        <v>304622.08000000002</v>
      </c>
      <c r="G688">
        <v>537</v>
      </c>
      <c r="H688">
        <v>970</v>
      </c>
    </row>
    <row r="689" spans="1:8" x14ac:dyDescent="0.3">
      <c r="A689">
        <v>2021</v>
      </c>
      <c r="B689" t="s">
        <v>26</v>
      </c>
      <c r="C689" t="s">
        <v>12</v>
      </c>
      <c r="D689" t="s">
        <v>125</v>
      </c>
      <c r="E689" t="s">
        <v>233</v>
      </c>
      <c r="F689">
        <v>306653.76</v>
      </c>
      <c r="G689">
        <v>929</v>
      </c>
      <c r="H689">
        <v>590</v>
      </c>
    </row>
    <row r="690" spans="1:8" x14ac:dyDescent="0.3">
      <c r="A690">
        <v>2021</v>
      </c>
      <c r="B690" t="s">
        <v>25</v>
      </c>
      <c r="C690" t="s">
        <v>15</v>
      </c>
      <c r="D690" t="s">
        <v>82</v>
      </c>
      <c r="E690" t="s">
        <v>231</v>
      </c>
      <c r="F690">
        <v>343524.16</v>
      </c>
      <c r="G690">
        <v>610</v>
      </c>
      <c r="H690">
        <v>851</v>
      </c>
    </row>
    <row r="691" spans="1:8" x14ac:dyDescent="0.3">
      <c r="A691">
        <v>2021</v>
      </c>
      <c r="B691" t="s">
        <v>18</v>
      </c>
      <c r="C691" t="s">
        <v>15</v>
      </c>
      <c r="D691" t="s">
        <v>84</v>
      </c>
      <c r="E691" t="s">
        <v>232</v>
      </c>
      <c r="F691">
        <v>347068</v>
      </c>
      <c r="G691">
        <v>137</v>
      </c>
      <c r="H691">
        <v>784</v>
      </c>
    </row>
    <row r="692" spans="1:8" x14ac:dyDescent="0.3">
      <c r="A692">
        <v>2021</v>
      </c>
      <c r="B692" t="s">
        <v>21</v>
      </c>
      <c r="C692" t="s">
        <v>14</v>
      </c>
      <c r="D692" t="s">
        <v>168</v>
      </c>
      <c r="E692" t="s">
        <v>232</v>
      </c>
      <c r="F692">
        <v>349305.59999999998</v>
      </c>
      <c r="G692">
        <v>461</v>
      </c>
      <c r="H692">
        <v>615</v>
      </c>
    </row>
    <row r="693" spans="1:8" x14ac:dyDescent="0.3">
      <c r="A693">
        <v>2021</v>
      </c>
      <c r="B693" t="s">
        <v>18</v>
      </c>
      <c r="C693" t="s">
        <v>10</v>
      </c>
      <c r="D693" t="s">
        <v>46</v>
      </c>
      <c r="E693" t="s">
        <v>232</v>
      </c>
      <c r="F693">
        <v>352427.04</v>
      </c>
      <c r="G693">
        <v>615</v>
      </c>
      <c r="H693">
        <v>851</v>
      </c>
    </row>
    <row r="694" spans="1:8" x14ac:dyDescent="0.3">
      <c r="A694">
        <v>2021</v>
      </c>
      <c r="B694" t="s">
        <v>20</v>
      </c>
      <c r="C694" t="s">
        <v>8</v>
      </c>
      <c r="D694" t="s">
        <v>37</v>
      </c>
      <c r="E694" t="s">
        <v>231</v>
      </c>
      <c r="F694">
        <v>356908.16</v>
      </c>
      <c r="G694">
        <v>774</v>
      </c>
      <c r="H694">
        <v>33</v>
      </c>
    </row>
    <row r="695" spans="1:8" x14ac:dyDescent="0.3">
      <c r="A695">
        <v>2021</v>
      </c>
      <c r="B695" t="s">
        <v>19</v>
      </c>
      <c r="C695" t="s">
        <v>17</v>
      </c>
      <c r="D695" t="s">
        <v>60</v>
      </c>
      <c r="E695" t="s">
        <v>233</v>
      </c>
      <c r="F695">
        <v>367728.48</v>
      </c>
      <c r="G695">
        <v>957</v>
      </c>
      <c r="H695">
        <v>210</v>
      </c>
    </row>
    <row r="696" spans="1:8" x14ac:dyDescent="0.3">
      <c r="A696">
        <v>2021</v>
      </c>
      <c r="B696" t="s">
        <v>25</v>
      </c>
      <c r="C696" t="s">
        <v>17</v>
      </c>
      <c r="D696" t="s">
        <v>195</v>
      </c>
      <c r="E696" t="s">
        <v>236</v>
      </c>
      <c r="F696">
        <v>376527</v>
      </c>
      <c r="G696">
        <v>934</v>
      </c>
      <c r="H696">
        <v>75</v>
      </c>
    </row>
    <row r="697" spans="1:8" x14ac:dyDescent="0.3">
      <c r="A697">
        <v>2021</v>
      </c>
      <c r="B697" t="s">
        <v>27</v>
      </c>
      <c r="C697" t="s">
        <v>10</v>
      </c>
      <c r="D697" t="s">
        <v>143</v>
      </c>
      <c r="E697" t="s">
        <v>232</v>
      </c>
      <c r="F697">
        <v>388716.16</v>
      </c>
      <c r="G697">
        <v>871</v>
      </c>
      <c r="H697">
        <v>810</v>
      </c>
    </row>
    <row r="698" spans="1:8" x14ac:dyDescent="0.3">
      <c r="A698">
        <v>2021</v>
      </c>
      <c r="B698" t="s">
        <v>18</v>
      </c>
      <c r="C698" t="s">
        <v>15</v>
      </c>
      <c r="D698" t="s">
        <v>65</v>
      </c>
      <c r="E698" t="s">
        <v>229</v>
      </c>
      <c r="F698">
        <v>390192.32</v>
      </c>
      <c r="G698">
        <v>137</v>
      </c>
      <c r="H698">
        <v>784</v>
      </c>
    </row>
    <row r="699" spans="1:8" x14ac:dyDescent="0.3">
      <c r="A699">
        <v>2021</v>
      </c>
      <c r="B699" t="s">
        <v>26</v>
      </c>
      <c r="C699" t="s">
        <v>11</v>
      </c>
      <c r="D699" t="s">
        <v>151</v>
      </c>
      <c r="E699" t="s">
        <v>234</v>
      </c>
      <c r="F699">
        <v>396397.12</v>
      </c>
      <c r="G699">
        <v>60</v>
      </c>
      <c r="H699">
        <v>849</v>
      </c>
    </row>
    <row r="700" spans="1:8" x14ac:dyDescent="0.3">
      <c r="A700">
        <v>2021</v>
      </c>
      <c r="B700" t="s">
        <v>21</v>
      </c>
      <c r="C700" t="s">
        <v>9</v>
      </c>
      <c r="D700" t="s">
        <v>148</v>
      </c>
      <c r="E700" t="s">
        <v>234</v>
      </c>
      <c r="F700">
        <v>396397.12</v>
      </c>
      <c r="G700">
        <v>597</v>
      </c>
      <c r="H700">
        <v>287</v>
      </c>
    </row>
    <row r="701" spans="1:8" x14ac:dyDescent="0.3">
      <c r="A701">
        <v>2021</v>
      </c>
      <c r="B701" t="s">
        <v>21</v>
      </c>
      <c r="C701" t="s">
        <v>13</v>
      </c>
      <c r="D701" t="s">
        <v>142</v>
      </c>
      <c r="E701" t="s">
        <v>232</v>
      </c>
      <c r="F701">
        <v>396397.12</v>
      </c>
      <c r="G701">
        <v>61</v>
      </c>
      <c r="H701">
        <v>28</v>
      </c>
    </row>
    <row r="702" spans="1:8" x14ac:dyDescent="0.3">
      <c r="A702">
        <v>2021</v>
      </c>
      <c r="B702" t="s">
        <v>26</v>
      </c>
      <c r="C702" t="s">
        <v>14</v>
      </c>
      <c r="D702" t="s">
        <v>158</v>
      </c>
      <c r="E702" t="s">
        <v>234</v>
      </c>
      <c r="F702">
        <v>405587.83999999997</v>
      </c>
      <c r="G702">
        <v>749</v>
      </c>
      <c r="H702">
        <v>648</v>
      </c>
    </row>
    <row r="703" spans="1:8" x14ac:dyDescent="0.3">
      <c r="A703">
        <v>2021</v>
      </c>
      <c r="B703" t="s">
        <v>21</v>
      </c>
      <c r="C703" t="s">
        <v>15</v>
      </c>
      <c r="D703" t="s">
        <v>170</v>
      </c>
      <c r="E703" t="s">
        <v>229</v>
      </c>
      <c r="F703">
        <v>421710.24</v>
      </c>
      <c r="G703">
        <v>232</v>
      </c>
      <c r="H703">
        <v>351</v>
      </c>
    </row>
    <row r="704" spans="1:8" x14ac:dyDescent="0.3">
      <c r="A704">
        <v>2021</v>
      </c>
      <c r="B704" t="s">
        <v>23</v>
      </c>
      <c r="C704" t="s">
        <v>15</v>
      </c>
      <c r="D704" t="s">
        <v>105</v>
      </c>
      <c r="E704" t="s">
        <v>233</v>
      </c>
      <c r="F704">
        <v>428719</v>
      </c>
      <c r="G704">
        <v>499</v>
      </c>
      <c r="H704">
        <v>568</v>
      </c>
    </row>
    <row r="705" spans="1:8" x14ac:dyDescent="0.3">
      <c r="A705">
        <v>2021</v>
      </c>
      <c r="B705" t="s">
        <v>26</v>
      </c>
      <c r="C705" t="s">
        <v>8</v>
      </c>
      <c r="D705" t="s">
        <v>90</v>
      </c>
      <c r="E705" t="s">
        <v>232</v>
      </c>
      <c r="F705">
        <v>429470.71999999997</v>
      </c>
      <c r="G705">
        <v>590</v>
      </c>
      <c r="H705">
        <v>268</v>
      </c>
    </row>
    <row r="706" spans="1:8" x14ac:dyDescent="0.3">
      <c r="A706">
        <v>2021</v>
      </c>
      <c r="B706" t="s">
        <v>20</v>
      </c>
      <c r="C706" t="s">
        <v>8</v>
      </c>
      <c r="D706" t="s">
        <v>200</v>
      </c>
      <c r="E706" t="s">
        <v>229</v>
      </c>
      <c r="F706">
        <v>430756</v>
      </c>
      <c r="G706">
        <v>386</v>
      </c>
      <c r="H706">
        <v>287</v>
      </c>
    </row>
    <row r="707" spans="1:8" x14ac:dyDescent="0.3">
      <c r="A707">
        <v>2021</v>
      </c>
      <c r="B707" t="s">
        <v>26</v>
      </c>
      <c r="C707" t="s">
        <v>9</v>
      </c>
      <c r="D707" t="s">
        <v>185</v>
      </c>
      <c r="E707" t="s">
        <v>229</v>
      </c>
      <c r="F707">
        <v>437881.92</v>
      </c>
      <c r="G707">
        <v>105</v>
      </c>
      <c r="H707">
        <v>924</v>
      </c>
    </row>
    <row r="708" spans="1:8" x14ac:dyDescent="0.3">
      <c r="A708">
        <v>2021</v>
      </c>
      <c r="B708" t="s">
        <v>25</v>
      </c>
      <c r="C708" t="s">
        <v>13</v>
      </c>
      <c r="D708" t="s">
        <v>121</v>
      </c>
      <c r="E708" t="s">
        <v>235</v>
      </c>
      <c r="F708">
        <v>439391.68</v>
      </c>
      <c r="G708">
        <v>739</v>
      </c>
      <c r="H708">
        <v>105</v>
      </c>
    </row>
    <row r="709" spans="1:8" x14ac:dyDescent="0.3">
      <c r="A709">
        <v>2021</v>
      </c>
      <c r="B709" t="s">
        <v>21</v>
      </c>
      <c r="C709" t="s">
        <v>11</v>
      </c>
      <c r="D709" t="s">
        <v>70</v>
      </c>
      <c r="E709" t="s">
        <v>235</v>
      </c>
      <c r="F709">
        <v>443828</v>
      </c>
      <c r="G709">
        <v>249</v>
      </c>
      <c r="H709">
        <v>975</v>
      </c>
    </row>
    <row r="710" spans="1:8" x14ac:dyDescent="0.3">
      <c r="A710">
        <v>2021</v>
      </c>
      <c r="B710" t="s">
        <v>22</v>
      </c>
      <c r="C710" t="s">
        <v>9</v>
      </c>
      <c r="D710" t="s">
        <v>201</v>
      </c>
      <c r="E710" t="s">
        <v>228</v>
      </c>
      <c r="F710">
        <v>457304.96</v>
      </c>
      <c r="G710">
        <v>573</v>
      </c>
      <c r="H710">
        <v>784</v>
      </c>
    </row>
    <row r="711" spans="1:8" x14ac:dyDescent="0.3">
      <c r="A711">
        <v>2021</v>
      </c>
      <c r="B711" t="s">
        <v>19</v>
      </c>
      <c r="C711" t="s">
        <v>16</v>
      </c>
      <c r="D711" t="s">
        <v>186</v>
      </c>
      <c r="E711" t="s">
        <v>235</v>
      </c>
      <c r="F711">
        <v>461137.6</v>
      </c>
      <c r="G711">
        <v>268</v>
      </c>
      <c r="H711">
        <v>118</v>
      </c>
    </row>
    <row r="712" spans="1:8" x14ac:dyDescent="0.3">
      <c r="A712">
        <v>2021</v>
      </c>
      <c r="B712" t="s">
        <v>21</v>
      </c>
      <c r="C712" t="s">
        <v>10</v>
      </c>
      <c r="D712" t="s">
        <v>203</v>
      </c>
      <c r="E712" t="s">
        <v>229</v>
      </c>
      <c r="F712">
        <v>462172</v>
      </c>
      <c r="G712">
        <v>975</v>
      </c>
      <c r="H712">
        <v>282</v>
      </c>
    </row>
    <row r="713" spans="1:8" x14ac:dyDescent="0.3">
      <c r="A713">
        <v>2021</v>
      </c>
      <c r="B713" t="s">
        <v>21</v>
      </c>
      <c r="C713" t="s">
        <v>9</v>
      </c>
      <c r="D713" t="s">
        <v>74</v>
      </c>
      <c r="E713" t="s">
        <v>228</v>
      </c>
      <c r="F713">
        <v>462946.4</v>
      </c>
      <c r="G713">
        <v>86</v>
      </c>
      <c r="H713">
        <v>232</v>
      </c>
    </row>
    <row r="714" spans="1:8" x14ac:dyDescent="0.3">
      <c r="A714">
        <v>2021</v>
      </c>
      <c r="B714" t="s">
        <v>20</v>
      </c>
      <c r="C714" t="s">
        <v>8</v>
      </c>
      <c r="D714" t="s">
        <v>38</v>
      </c>
      <c r="E714" t="s">
        <v>231</v>
      </c>
      <c r="F714">
        <v>466324.32</v>
      </c>
      <c r="G714">
        <v>774</v>
      </c>
      <c r="H714">
        <v>33</v>
      </c>
    </row>
    <row r="715" spans="1:8" x14ac:dyDescent="0.3">
      <c r="A715">
        <v>2021</v>
      </c>
      <c r="B715" t="s">
        <v>23</v>
      </c>
      <c r="C715" t="s">
        <v>16</v>
      </c>
      <c r="D715" t="s">
        <v>116</v>
      </c>
      <c r="E715" t="s">
        <v>236</v>
      </c>
      <c r="F715">
        <v>466533</v>
      </c>
      <c r="G715">
        <v>98</v>
      </c>
      <c r="H715">
        <v>968</v>
      </c>
    </row>
    <row r="716" spans="1:8" x14ac:dyDescent="0.3">
      <c r="A716">
        <v>2021</v>
      </c>
      <c r="B716" t="s">
        <v>27</v>
      </c>
      <c r="C716" t="s">
        <v>8</v>
      </c>
      <c r="D716" t="s">
        <v>198</v>
      </c>
      <c r="E716" t="s">
        <v>233</v>
      </c>
      <c r="F716">
        <v>466947.04</v>
      </c>
      <c r="G716">
        <v>342</v>
      </c>
      <c r="H716">
        <v>968</v>
      </c>
    </row>
    <row r="717" spans="1:8" x14ac:dyDescent="0.3">
      <c r="A717">
        <v>2021</v>
      </c>
      <c r="B717" t="s">
        <v>25</v>
      </c>
      <c r="C717" t="s">
        <v>17</v>
      </c>
      <c r="D717" t="s">
        <v>64</v>
      </c>
      <c r="E717" t="s">
        <v>233</v>
      </c>
      <c r="F717">
        <v>472993.92</v>
      </c>
      <c r="G717">
        <v>479</v>
      </c>
      <c r="H717">
        <v>934</v>
      </c>
    </row>
    <row r="718" spans="1:8" x14ac:dyDescent="0.3">
      <c r="A718">
        <v>2021</v>
      </c>
      <c r="B718" t="s">
        <v>24</v>
      </c>
      <c r="C718" t="s">
        <v>12</v>
      </c>
      <c r="D718" t="s">
        <v>225</v>
      </c>
      <c r="E718" t="s">
        <v>233</v>
      </c>
      <c r="F718">
        <v>482446.72</v>
      </c>
      <c r="G718">
        <v>869</v>
      </c>
      <c r="H718">
        <v>930</v>
      </c>
    </row>
    <row r="719" spans="1:8" x14ac:dyDescent="0.3">
      <c r="A719">
        <v>2021</v>
      </c>
      <c r="B719" t="s">
        <v>25</v>
      </c>
      <c r="C719" t="s">
        <v>11</v>
      </c>
      <c r="D719" t="s">
        <v>32</v>
      </c>
      <c r="E719" t="s">
        <v>234</v>
      </c>
      <c r="F719">
        <v>482446.72</v>
      </c>
      <c r="G719">
        <v>515</v>
      </c>
      <c r="H719">
        <v>210</v>
      </c>
    </row>
    <row r="720" spans="1:8" x14ac:dyDescent="0.3">
      <c r="A720">
        <v>2021</v>
      </c>
      <c r="B720" t="s">
        <v>19</v>
      </c>
      <c r="C720" t="s">
        <v>17</v>
      </c>
      <c r="D720" t="s">
        <v>52</v>
      </c>
      <c r="E720" t="s">
        <v>236</v>
      </c>
      <c r="F720">
        <v>482446.72</v>
      </c>
      <c r="G720">
        <v>970</v>
      </c>
      <c r="H720">
        <v>616</v>
      </c>
    </row>
    <row r="721" spans="1:8" x14ac:dyDescent="0.3">
      <c r="A721">
        <v>2021</v>
      </c>
      <c r="B721" t="s">
        <v>27</v>
      </c>
      <c r="C721" t="s">
        <v>15</v>
      </c>
      <c r="D721" t="s">
        <v>69</v>
      </c>
      <c r="E721" t="s">
        <v>234</v>
      </c>
      <c r="F721">
        <v>483679.83999999997</v>
      </c>
      <c r="G721">
        <v>734</v>
      </c>
      <c r="H721">
        <v>568</v>
      </c>
    </row>
    <row r="722" spans="1:8" x14ac:dyDescent="0.3">
      <c r="A722">
        <v>2021</v>
      </c>
      <c r="B722" t="s">
        <v>26</v>
      </c>
      <c r="C722" t="s">
        <v>12</v>
      </c>
      <c r="D722" t="s">
        <v>53</v>
      </c>
      <c r="E722" t="s">
        <v>233</v>
      </c>
      <c r="F722">
        <v>491219.68</v>
      </c>
      <c r="G722">
        <v>929</v>
      </c>
      <c r="H722">
        <v>590</v>
      </c>
    </row>
    <row r="723" spans="1:8" x14ac:dyDescent="0.3">
      <c r="A723">
        <v>2021</v>
      </c>
      <c r="B723" t="s">
        <v>21</v>
      </c>
      <c r="C723" t="s">
        <v>14</v>
      </c>
      <c r="D723" t="s">
        <v>97</v>
      </c>
      <c r="E723" t="s">
        <v>232</v>
      </c>
      <c r="F723">
        <v>508671.52</v>
      </c>
      <c r="G723">
        <v>461</v>
      </c>
      <c r="H723">
        <v>615</v>
      </c>
    </row>
    <row r="724" spans="1:8" x14ac:dyDescent="0.3">
      <c r="A724">
        <v>2021</v>
      </c>
      <c r="B724" t="s">
        <v>24</v>
      </c>
      <c r="C724" t="s">
        <v>13</v>
      </c>
      <c r="D724" t="s">
        <v>159</v>
      </c>
      <c r="E724" t="s">
        <v>235</v>
      </c>
      <c r="F724">
        <v>511374.08000000002</v>
      </c>
      <c r="G724">
        <v>591</v>
      </c>
      <c r="H724">
        <v>810</v>
      </c>
    </row>
    <row r="725" spans="1:8" x14ac:dyDescent="0.3">
      <c r="A725">
        <v>2021</v>
      </c>
      <c r="B725" t="s">
        <v>25</v>
      </c>
      <c r="C725" t="s">
        <v>8</v>
      </c>
      <c r="D725" t="s">
        <v>222</v>
      </c>
      <c r="E725" t="s">
        <v>232</v>
      </c>
      <c r="F725">
        <v>513714.88</v>
      </c>
      <c r="G725">
        <v>616</v>
      </c>
      <c r="H725">
        <v>398</v>
      </c>
    </row>
    <row r="726" spans="1:8" x14ac:dyDescent="0.3">
      <c r="A726">
        <v>2021</v>
      </c>
      <c r="B726" t="s">
        <v>22</v>
      </c>
      <c r="C726" t="s">
        <v>16</v>
      </c>
      <c r="D726" t="s">
        <v>128</v>
      </c>
      <c r="E726" t="s">
        <v>231</v>
      </c>
      <c r="F726">
        <v>516552</v>
      </c>
      <c r="G726">
        <v>911</v>
      </c>
      <c r="H726">
        <v>105</v>
      </c>
    </row>
    <row r="727" spans="1:8" x14ac:dyDescent="0.3">
      <c r="A727">
        <v>2021</v>
      </c>
      <c r="B727" t="s">
        <v>22</v>
      </c>
      <c r="C727" t="s">
        <v>16</v>
      </c>
      <c r="D727" t="s">
        <v>113</v>
      </c>
      <c r="E727" t="s">
        <v>231</v>
      </c>
      <c r="F727">
        <v>517632.64</v>
      </c>
      <c r="G727">
        <v>911</v>
      </c>
      <c r="H727">
        <v>105</v>
      </c>
    </row>
    <row r="728" spans="1:8" x14ac:dyDescent="0.3">
      <c r="A728">
        <v>2021</v>
      </c>
      <c r="B728" t="s">
        <v>20</v>
      </c>
      <c r="C728" t="s">
        <v>8</v>
      </c>
      <c r="D728" t="s">
        <v>209</v>
      </c>
      <c r="E728" t="s">
        <v>228</v>
      </c>
      <c r="F728">
        <v>521766.56</v>
      </c>
      <c r="G728">
        <v>386</v>
      </c>
      <c r="H728">
        <v>287</v>
      </c>
    </row>
    <row r="729" spans="1:8" x14ac:dyDescent="0.3">
      <c r="A729">
        <v>2021</v>
      </c>
      <c r="B729" t="s">
        <v>27</v>
      </c>
      <c r="C729" t="s">
        <v>9</v>
      </c>
      <c r="D729" t="s">
        <v>132</v>
      </c>
      <c r="E729" t="s">
        <v>229</v>
      </c>
      <c r="F729">
        <v>524174</v>
      </c>
      <c r="G729">
        <v>962</v>
      </c>
      <c r="H729">
        <v>28</v>
      </c>
    </row>
    <row r="730" spans="1:8" x14ac:dyDescent="0.3">
      <c r="A730">
        <v>2021</v>
      </c>
      <c r="B730" t="s">
        <v>25</v>
      </c>
      <c r="C730" t="s">
        <v>15</v>
      </c>
      <c r="D730" t="s">
        <v>202</v>
      </c>
      <c r="E730" t="s">
        <v>232</v>
      </c>
      <c r="F730">
        <v>524939.52000000002</v>
      </c>
      <c r="G730">
        <v>156</v>
      </c>
      <c r="H730">
        <v>54</v>
      </c>
    </row>
    <row r="731" spans="1:8" x14ac:dyDescent="0.3">
      <c r="A731">
        <v>2021</v>
      </c>
      <c r="B731" t="s">
        <v>18</v>
      </c>
      <c r="C731" t="s">
        <v>10</v>
      </c>
      <c r="D731" t="s">
        <v>68</v>
      </c>
      <c r="E731" t="s">
        <v>232</v>
      </c>
      <c r="F731">
        <v>526794.23999999999</v>
      </c>
      <c r="G731">
        <v>615</v>
      </c>
      <c r="H731">
        <v>851</v>
      </c>
    </row>
    <row r="732" spans="1:8" x14ac:dyDescent="0.3">
      <c r="A732">
        <v>2021</v>
      </c>
      <c r="B732" t="s">
        <v>25</v>
      </c>
      <c r="C732" t="s">
        <v>17</v>
      </c>
      <c r="D732" t="s">
        <v>207</v>
      </c>
      <c r="E732" t="s">
        <v>231</v>
      </c>
      <c r="F732">
        <v>543778</v>
      </c>
      <c r="G732">
        <v>934</v>
      </c>
      <c r="H732">
        <v>75</v>
      </c>
    </row>
    <row r="733" spans="1:8" x14ac:dyDescent="0.3">
      <c r="A733">
        <v>2021</v>
      </c>
      <c r="B733" t="s">
        <v>25</v>
      </c>
      <c r="C733" t="s">
        <v>9</v>
      </c>
      <c r="D733" t="s">
        <v>187</v>
      </c>
      <c r="E733" t="s">
        <v>231</v>
      </c>
      <c r="F733">
        <v>566350.4</v>
      </c>
      <c r="G733">
        <v>601</v>
      </c>
      <c r="H733">
        <v>413</v>
      </c>
    </row>
    <row r="734" spans="1:8" x14ac:dyDescent="0.3">
      <c r="A734">
        <v>2021</v>
      </c>
      <c r="B734" t="s">
        <v>23</v>
      </c>
      <c r="C734" t="s">
        <v>15</v>
      </c>
      <c r="D734" t="s">
        <v>157</v>
      </c>
      <c r="E734" t="s">
        <v>233</v>
      </c>
      <c r="F734">
        <v>567481.59999999998</v>
      </c>
      <c r="G734">
        <v>499</v>
      </c>
      <c r="H734">
        <v>568</v>
      </c>
    </row>
    <row r="735" spans="1:8" x14ac:dyDescent="0.3">
      <c r="A735">
        <v>2021</v>
      </c>
      <c r="B735" t="s">
        <v>21</v>
      </c>
      <c r="C735" t="s">
        <v>14</v>
      </c>
      <c r="D735" t="s">
        <v>140</v>
      </c>
      <c r="E735" t="s">
        <v>232</v>
      </c>
      <c r="F735">
        <v>584907</v>
      </c>
      <c r="G735">
        <v>461</v>
      </c>
      <c r="H735">
        <v>615</v>
      </c>
    </row>
    <row r="736" spans="1:8" x14ac:dyDescent="0.3">
      <c r="A736">
        <v>2021</v>
      </c>
      <c r="B736" t="s">
        <v>21</v>
      </c>
      <c r="C736" t="s">
        <v>13</v>
      </c>
      <c r="D736" t="s">
        <v>110</v>
      </c>
      <c r="E736" t="s">
        <v>232</v>
      </c>
      <c r="F736">
        <v>586849.76</v>
      </c>
      <c r="G736">
        <v>61</v>
      </c>
      <c r="H736">
        <v>28</v>
      </c>
    </row>
    <row r="737" spans="1:8" x14ac:dyDescent="0.3">
      <c r="A737">
        <v>2021</v>
      </c>
      <c r="B737" t="s">
        <v>26</v>
      </c>
      <c r="C737" t="s">
        <v>9</v>
      </c>
      <c r="D737" t="s">
        <v>211</v>
      </c>
      <c r="E737" t="s">
        <v>233</v>
      </c>
      <c r="F737">
        <v>589634</v>
      </c>
      <c r="G737">
        <v>105</v>
      </c>
      <c r="H737">
        <v>924</v>
      </c>
    </row>
    <row r="738" spans="1:8" x14ac:dyDescent="0.3">
      <c r="A738">
        <v>2021</v>
      </c>
      <c r="B738" t="s">
        <v>19</v>
      </c>
      <c r="C738" t="s">
        <v>17</v>
      </c>
      <c r="D738" t="s">
        <v>108</v>
      </c>
      <c r="E738" t="s">
        <v>233</v>
      </c>
      <c r="F738">
        <v>612550.40000000002</v>
      </c>
      <c r="G738">
        <v>957</v>
      </c>
      <c r="H738">
        <v>210</v>
      </c>
    </row>
    <row r="739" spans="1:8" x14ac:dyDescent="0.3">
      <c r="A739">
        <v>2021</v>
      </c>
      <c r="B739" t="s">
        <v>19</v>
      </c>
      <c r="C739" t="s">
        <v>17</v>
      </c>
      <c r="D739" t="s">
        <v>146</v>
      </c>
      <c r="E739" t="s">
        <v>231</v>
      </c>
      <c r="F739">
        <v>612647</v>
      </c>
      <c r="G739">
        <v>150</v>
      </c>
      <c r="H739">
        <v>413</v>
      </c>
    </row>
    <row r="740" spans="1:8" x14ac:dyDescent="0.3">
      <c r="A740">
        <v>2021</v>
      </c>
      <c r="B740" t="s">
        <v>25</v>
      </c>
      <c r="C740" t="s">
        <v>15</v>
      </c>
      <c r="D740" t="s">
        <v>150</v>
      </c>
      <c r="E740" t="s">
        <v>231</v>
      </c>
      <c r="F740">
        <v>625926</v>
      </c>
      <c r="G740">
        <v>610</v>
      </c>
      <c r="H740">
        <v>851</v>
      </c>
    </row>
    <row r="741" spans="1:8" x14ac:dyDescent="0.3">
      <c r="A741">
        <v>2021</v>
      </c>
      <c r="B741" t="s">
        <v>18</v>
      </c>
      <c r="C741" t="s">
        <v>8</v>
      </c>
      <c r="D741" t="s">
        <v>213</v>
      </c>
      <c r="E741" t="s">
        <v>233</v>
      </c>
      <c r="F741">
        <v>629942</v>
      </c>
      <c r="G741">
        <v>256</v>
      </c>
      <c r="H741">
        <v>839</v>
      </c>
    </row>
    <row r="742" spans="1:8" x14ac:dyDescent="0.3">
      <c r="A742">
        <v>2021</v>
      </c>
      <c r="B742" t="s">
        <v>25</v>
      </c>
      <c r="C742" t="s">
        <v>11</v>
      </c>
      <c r="D742" t="s">
        <v>152</v>
      </c>
      <c r="E742" t="s">
        <v>232</v>
      </c>
      <c r="F742">
        <v>631391</v>
      </c>
      <c r="G742">
        <v>515</v>
      </c>
      <c r="H742">
        <v>210</v>
      </c>
    </row>
    <row r="743" spans="1:8" x14ac:dyDescent="0.3">
      <c r="A743">
        <v>2021</v>
      </c>
      <c r="B743" t="s">
        <v>25</v>
      </c>
      <c r="C743" t="s">
        <v>13</v>
      </c>
      <c r="D743" t="s">
        <v>153</v>
      </c>
      <c r="E743" t="s">
        <v>231</v>
      </c>
      <c r="F743">
        <v>634029</v>
      </c>
      <c r="G743">
        <v>739</v>
      </c>
      <c r="H743">
        <v>105</v>
      </c>
    </row>
    <row r="744" spans="1:8" x14ac:dyDescent="0.3">
      <c r="A744">
        <v>2021</v>
      </c>
      <c r="B744" t="s">
        <v>24</v>
      </c>
      <c r="C744" t="s">
        <v>12</v>
      </c>
      <c r="D744" t="s">
        <v>191</v>
      </c>
      <c r="E744" t="s">
        <v>233</v>
      </c>
      <c r="F744">
        <v>635797.12</v>
      </c>
      <c r="G744">
        <v>869</v>
      </c>
      <c r="H744">
        <v>930</v>
      </c>
    </row>
    <row r="745" spans="1:8" x14ac:dyDescent="0.3">
      <c r="A745">
        <v>2021</v>
      </c>
      <c r="B745" t="s">
        <v>27</v>
      </c>
      <c r="C745" t="s">
        <v>9</v>
      </c>
      <c r="D745" t="s">
        <v>155</v>
      </c>
      <c r="E745" t="s">
        <v>229</v>
      </c>
      <c r="F745">
        <v>653988.16</v>
      </c>
      <c r="G745">
        <v>962</v>
      </c>
      <c r="H745">
        <v>28</v>
      </c>
    </row>
    <row r="746" spans="1:8" x14ac:dyDescent="0.3">
      <c r="A746">
        <v>2021</v>
      </c>
      <c r="B746" t="s">
        <v>18</v>
      </c>
      <c r="C746" t="s">
        <v>10</v>
      </c>
      <c r="D746" t="s">
        <v>78</v>
      </c>
      <c r="E746" t="s">
        <v>232</v>
      </c>
      <c r="F746">
        <v>655095.84</v>
      </c>
      <c r="G746">
        <v>615</v>
      </c>
      <c r="H746">
        <v>851</v>
      </c>
    </row>
    <row r="747" spans="1:8" x14ac:dyDescent="0.3">
      <c r="A747">
        <v>2021</v>
      </c>
      <c r="B747" t="s">
        <v>18</v>
      </c>
      <c r="C747" t="s">
        <v>10</v>
      </c>
      <c r="D747" t="s">
        <v>79</v>
      </c>
      <c r="E747" t="s">
        <v>232</v>
      </c>
      <c r="F747">
        <v>660390.07999999996</v>
      </c>
      <c r="G747">
        <v>615</v>
      </c>
      <c r="H747">
        <v>851</v>
      </c>
    </row>
    <row r="748" spans="1:8" x14ac:dyDescent="0.3">
      <c r="A748">
        <v>2021</v>
      </c>
      <c r="B748" t="s">
        <v>26</v>
      </c>
      <c r="C748" t="s">
        <v>9</v>
      </c>
      <c r="D748" t="s">
        <v>147</v>
      </c>
      <c r="E748" t="s">
        <v>229</v>
      </c>
      <c r="F748">
        <v>668335.35999999999</v>
      </c>
      <c r="G748">
        <v>105</v>
      </c>
      <c r="H748">
        <v>924</v>
      </c>
    </row>
    <row r="749" spans="1:8" x14ac:dyDescent="0.3">
      <c r="A749">
        <v>2021</v>
      </c>
      <c r="B749" t="s">
        <v>21</v>
      </c>
      <c r="C749" t="s">
        <v>9</v>
      </c>
      <c r="D749" t="s">
        <v>96</v>
      </c>
      <c r="E749" t="s">
        <v>228</v>
      </c>
      <c r="F749">
        <v>670153.12</v>
      </c>
      <c r="G749">
        <v>86</v>
      </c>
      <c r="H749">
        <v>232</v>
      </c>
    </row>
    <row r="750" spans="1:8" x14ac:dyDescent="0.3">
      <c r="A750">
        <v>2021</v>
      </c>
      <c r="B750" t="s">
        <v>19</v>
      </c>
      <c r="C750" t="s">
        <v>17</v>
      </c>
      <c r="D750" t="s">
        <v>77</v>
      </c>
      <c r="E750" t="s">
        <v>236</v>
      </c>
      <c r="F750">
        <v>685790.56</v>
      </c>
      <c r="G750">
        <v>970</v>
      </c>
      <c r="H750">
        <v>616</v>
      </c>
    </row>
    <row r="751" spans="1:8" x14ac:dyDescent="0.3">
      <c r="A751">
        <v>2021</v>
      </c>
      <c r="B751" t="s">
        <v>19</v>
      </c>
      <c r="C751" t="s">
        <v>17</v>
      </c>
      <c r="D751" t="s">
        <v>71</v>
      </c>
      <c r="E751" t="s">
        <v>232</v>
      </c>
      <c r="F751">
        <v>692508.32</v>
      </c>
      <c r="G751">
        <v>150</v>
      </c>
      <c r="H751">
        <v>413</v>
      </c>
    </row>
    <row r="752" spans="1:8" x14ac:dyDescent="0.3">
      <c r="A752">
        <v>2021</v>
      </c>
      <c r="B752" t="s">
        <v>24</v>
      </c>
      <c r="C752" t="s">
        <v>15</v>
      </c>
      <c r="D752" t="s">
        <v>123</v>
      </c>
      <c r="E752" t="s">
        <v>229</v>
      </c>
      <c r="F752">
        <v>692508.32</v>
      </c>
      <c r="G752">
        <v>873</v>
      </c>
      <c r="H752">
        <v>287</v>
      </c>
    </row>
    <row r="753" spans="1:8" x14ac:dyDescent="0.3">
      <c r="A753">
        <v>2021</v>
      </c>
      <c r="B753" t="s">
        <v>21</v>
      </c>
      <c r="C753" t="s">
        <v>10</v>
      </c>
      <c r="D753" t="s">
        <v>91</v>
      </c>
      <c r="E753" t="s">
        <v>229</v>
      </c>
      <c r="F753">
        <v>692508.32</v>
      </c>
      <c r="G753">
        <v>975</v>
      </c>
      <c r="H753">
        <v>282</v>
      </c>
    </row>
    <row r="754" spans="1:8" x14ac:dyDescent="0.3">
      <c r="A754">
        <v>2021</v>
      </c>
      <c r="B754" t="s">
        <v>25</v>
      </c>
      <c r="C754" t="s">
        <v>17</v>
      </c>
      <c r="D754" t="s">
        <v>145</v>
      </c>
      <c r="E754" t="s">
        <v>232</v>
      </c>
      <c r="F754">
        <v>697089.12</v>
      </c>
      <c r="G754">
        <v>479</v>
      </c>
      <c r="H754">
        <v>934</v>
      </c>
    </row>
    <row r="755" spans="1:8" x14ac:dyDescent="0.3">
      <c r="A755">
        <v>2021</v>
      </c>
      <c r="B755" t="s">
        <v>22</v>
      </c>
      <c r="C755" t="s">
        <v>14</v>
      </c>
      <c r="D755" t="s">
        <v>127</v>
      </c>
      <c r="E755" t="s">
        <v>232</v>
      </c>
      <c r="F755">
        <v>701037.12</v>
      </c>
      <c r="G755">
        <v>843</v>
      </c>
      <c r="H755">
        <v>839</v>
      </c>
    </row>
    <row r="756" spans="1:8" x14ac:dyDescent="0.3">
      <c r="A756">
        <v>2021</v>
      </c>
      <c r="B756" t="s">
        <v>18</v>
      </c>
      <c r="C756" t="s">
        <v>15</v>
      </c>
      <c r="D756" t="s">
        <v>144</v>
      </c>
      <c r="E756" t="s">
        <v>229</v>
      </c>
      <c r="F756">
        <v>705535.04</v>
      </c>
      <c r="G756">
        <v>137</v>
      </c>
      <c r="H756">
        <v>784</v>
      </c>
    </row>
    <row r="757" spans="1:8" x14ac:dyDescent="0.3">
      <c r="A757">
        <v>2021</v>
      </c>
      <c r="B757" t="s">
        <v>20</v>
      </c>
      <c r="C757" t="s">
        <v>8</v>
      </c>
      <c r="D757" t="s">
        <v>136</v>
      </c>
      <c r="E757" t="s">
        <v>231</v>
      </c>
      <c r="F757">
        <v>706171.2</v>
      </c>
      <c r="G757">
        <v>774</v>
      </c>
      <c r="H757">
        <v>33</v>
      </c>
    </row>
    <row r="758" spans="1:8" x14ac:dyDescent="0.3">
      <c r="A758">
        <v>2021</v>
      </c>
      <c r="B758" t="s">
        <v>22</v>
      </c>
      <c r="C758" t="s">
        <v>9</v>
      </c>
      <c r="D758" t="s">
        <v>130</v>
      </c>
      <c r="E758" t="s">
        <v>231</v>
      </c>
      <c r="F758">
        <v>707157.92</v>
      </c>
      <c r="G758">
        <v>573</v>
      </c>
      <c r="H758">
        <v>784</v>
      </c>
    </row>
    <row r="759" spans="1:8" x14ac:dyDescent="0.3">
      <c r="A759">
        <v>2021</v>
      </c>
      <c r="B759" t="s">
        <v>26</v>
      </c>
      <c r="C759" t="s">
        <v>8</v>
      </c>
      <c r="D759" t="s">
        <v>72</v>
      </c>
      <c r="E759" t="s">
        <v>232</v>
      </c>
      <c r="F759">
        <v>710112.48</v>
      </c>
      <c r="G759">
        <v>590</v>
      </c>
      <c r="H759">
        <v>268</v>
      </c>
    </row>
    <row r="760" spans="1:8" x14ac:dyDescent="0.3">
      <c r="A760">
        <v>2021</v>
      </c>
      <c r="B760" t="s">
        <v>25</v>
      </c>
      <c r="C760" t="s">
        <v>13</v>
      </c>
      <c r="D760" t="s">
        <v>80</v>
      </c>
      <c r="E760" t="s">
        <v>235</v>
      </c>
      <c r="F760">
        <v>712968.48</v>
      </c>
      <c r="G760">
        <v>739</v>
      </c>
      <c r="H760">
        <v>105</v>
      </c>
    </row>
    <row r="761" spans="1:8" x14ac:dyDescent="0.3">
      <c r="A761">
        <v>2021</v>
      </c>
      <c r="B761" t="s">
        <v>25</v>
      </c>
      <c r="C761" t="s">
        <v>15</v>
      </c>
      <c r="D761" t="s">
        <v>162</v>
      </c>
      <c r="E761" t="s">
        <v>231</v>
      </c>
      <c r="F761">
        <v>729331</v>
      </c>
      <c r="G761">
        <v>610</v>
      </c>
      <c r="H761">
        <v>851</v>
      </c>
    </row>
    <row r="762" spans="1:8" x14ac:dyDescent="0.3">
      <c r="A762">
        <v>2021</v>
      </c>
      <c r="B762" t="s">
        <v>22</v>
      </c>
      <c r="C762" t="s">
        <v>14</v>
      </c>
      <c r="D762" t="s">
        <v>174</v>
      </c>
      <c r="E762" t="s">
        <v>232</v>
      </c>
      <c r="F762">
        <v>764721.44</v>
      </c>
      <c r="G762">
        <v>843</v>
      </c>
      <c r="H762">
        <v>839</v>
      </c>
    </row>
    <row r="763" spans="1:8" x14ac:dyDescent="0.3">
      <c r="A763">
        <v>2021</v>
      </c>
      <c r="B763" t="s">
        <v>26</v>
      </c>
      <c r="C763" t="s">
        <v>8</v>
      </c>
      <c r="D763" t="s">
        <v>167</v>
      </c>
      <c r="E763" t="s">
        <v>229</v>
      </c>
      <c r="F763">
        <v>769514</v>
      </c>
      <c r="G763">
        <v>590</v>
      </c>
      <c r="H763">
        <v>268</v>
      </c>
    </row>
    <row r="764" spans="1:8" x14ac:dyDescent="0.3">
      <c r="A764">
        <v>2021</v>
      </c>
      <c r="B764" t="s">
        <v>20</v>
      </c>
      <c r="C764" t="s">
        <v>14</v>
      </c>
      <c r="D764" t="s">
        <v>109</v>
      </c>
      <c r="E764" t="s">
        <v>228</v>
      </c>
      <c r="F764">
        <v>786367.67999999993</v>
      </c>
      <c r="G764">
        <v>299</v>
      </c>
      <c r="H764">
        <v>975</v>
      </c>
    </row>
    <row r="765" spans="1:8" x14ac:dyDescent="0.3">
      <c r="A765">
        <v>2021</v>
      </c>
      <c r="B765" t="s">
        <v>26</v>
      </c>
      <c r="C765" t="s">
        <v>12</v>
      </c>
      <c r="D765" t="s">
        <v>156</v>
      </c>
      <c r="E765" t="s">
        <v>233</v>
      </c>
      <c r="F765">
        <v>801894.24</v>
      </c>
      <c r="G765">
        <v>929</v>
      </c>
      <c r="H765">
        <v>590</v>
      </c>
    </row>
    <row r="766" spans="1:8" x14ac:dyDescent="0.3">
      <c r="A766">
        <v>2021</v>
      </c>
      <c r="B766" t="s">
        <v>27</v>
      </c>
      <c r="C766" t="s">
        <v>10</v>
      </c>
      <c r="D766" t="s">
        <v>171</v>
      </c>
      <c r="E766" t="s">
        <v>232</v>
      </c>
      <c r="F766">
        <v>801894.24</v>
      </c>
      <c r="G766">
        <v>871</v>
      </c>
      <c r="H766">
        <v>810</v>
      </c>
    </row>
    <row r="767" spans="1:8" x14ac:dyDescent="0.3">
      <c r="A767">
        <v>2021</v>
      </c>
      <c r="B767" t="s">
        <v>23</v>
      </c>
      <c r="C767" t="s">
        <v>15</v>
      </c>
      <c r="D767" t="s">
        <v>172</v>
      </c>
      <c r="E767" t="s">
        <v>231</v>
      </c>
      <c r="F767">
        <v>810445</v>
      </c>
      <c r="G767">
        <v>849</v>
      </c>
      <c r="H767">
        <v>156</v>
      </c>
    </row>
    <row r="768" spans="1:8" x14ac:dyDescent="0.3">
      <c r="A768">
        <v>2021</v>
      </c>
      <c r="B768" t="s">
        <v>22</v>
      </c>
      <c r="C768" t="s">
        <v>16</v>
      </c>
      <c r="D768" t="s">
        <v>85</v>
      </c>
      <c r="E768" t="s">
        <v>228</v>
      </c>
      <c r="F768">
        <v>814604</v>
      </c>
      <c r="G768">
        <v>911</v>
      </c>
      <c r="H768">
        <v>105</v>
      </c>
    </row>
    <row r="769" spans="1:8" x14ac:dyDescent="0.3">
      <c r="A769">
        <v>2021</v>
      </c>
      <c r="B769" t="s">
        <v>21</v>
      </c>
      <c r="C769" t="s">
        <v>9</v>
      </c>
      <c r="D769" t="s">
        <v>103</v>
      </c>
      <c r="E769" t="s">
        <v>228</v>
      </c>
      <c r="F769">
        <v>815624.32</v>
      </c>
      <c r="G769">
        <v>86</v>
      </c>
      <c r="H769">
        <v>232</v>
      </c>
    </row>
    <row r="770" spans="1:8" x14ac:dyDescent="0.3">
      <c r="A770">
        <v>2021</v>
      </c>
      <c r="B770" t="s">
        <v>26</v>
      </c>
      <c r="C770" t="s">
        <v>8</v>
      </c>
      <c r="D770" t="s">
        <v>115</v>
      </c>
      <c r="E770" t="s">
        <v>232</v>
      </c>
      <c r="F770">
        <v>816850.72</v>
      </c>
      <c r="G770">
        <v>590</v>
      </c>
      <c r="H770">
        <v>268</v>
      </c>
    </row>
    <row r="771" spans="1:8" x14ac:dyDescent="0.3">
      <c r="A771">
        <v>2021</v>
      </c>
      <c r="B771" t="s">
        <v>27</v>
      </c>
      <c r="C771" t="s">
        <v>9</v>
      </c>
      <c r="D771" t="s">
        <v>163</v>
      </c>
      <c r="E771" t="s">
        <v>232</v>
      </c>
      <c r="F771">
        <v>819636.16</v>
      </c>
      <c r="G771">
        <v>810</v>
      </c>
      <c r="H771">
        <v>657</v>
      </c>
    </row>
    <row r="772" spans="1:8" x14ac:dyDescent="0.3">
      <c r="A772">
        <v>2021</v>
      </c>
      <c r="B772" t="s">
        <v>21</v>
      </c>
      <c r="C772" t="s">
        <v>15</v>
      </c>
      <c r="D772" t="s">
        <v>173</v>
      </c>
      <c r="E772" t="s">
        <v>231</v>
      </c>
      <c r="F772">
        <v>819636.16</v>
      </c>
      <c r="G772">
        <v>166</v>
      </c>
      <c r="H772">
        <v>934</v>
      </c>
    </row>
    <row r="773" spans="1:8" x14ac:dyDescent="0.3">
      <c r="A773">
        <v>2021</v>
      </c>
      <c r="B773" t="s">
        <v>27</v>
      </c>
      <c r="C773" t="s">
        <v>8</v>
      </c>
      <c r="D773" t="s">
        <v>215</v>
      </c>
      <c r="E773" t="s">
        <v>233</v>
      </c>
      <c r="F773">
        <v>828244.47999999998</v>
      </c>
      <c r="G773">
        <v>342</v>
      </c>
      <c r="H773">
        <v>968</v>
      </c>
    </row>
    <row r="774" spans="1:8" x14ac:dyDescent="0.3">
      <c r="A774">
        <v>2021</v>
      </c>
      <c r="B774" t="s">
        <v>21</v>
      </c>
      <c r="C774" t="s">
        <v>15</v>
      </c>
      <c r="D774" t="s">
        <v>104</v>
      </c>
      <c r="E774" t="s">
        <v>229</v>
      </c>
      <c r="F774">
        <v>836894.24</v>
      </c>
      <c r="G774">
        <v>232</v>
      </c>
      <c r="H774">
        <v>351</v>
      </c>
    </row>
    <row r="775" spans="1:8" x14ac:dyDescent="0.3">
      <c r="A775">
        <v>2021</v>
      </c>
      <c r="B775" t="s">
        <v>24</v>
      </c>
      <c r="C775" t="s">
        <v>15</v>
      </c>
      <c r="D775" t="s">
        <v>58</v>
      </c>
      <c r="E775" t="s">
        <v>229</v>
      </c>
      <c r="F775">
        <v>861855.67999999993</v>
      </c>
      <c r="G775">
        <v>873</v>
      </c>
      <c r="H775">
        <v>287</v>
      </c>
    </row>
    <row r="776" spans="1:8" x14ac:dyDescent="0.3">
      <c r="A776">
        <v>2021</v>
      </c>
      <c r="B776" t="s">
        <v>26</v>
      </c>
      <c r="C776" t="s">
        <v>9</v>
      </c>
      <c r="D776" t="s">
        <v>88</v>
      </c>
      <c r="E776" t="s">
        <v>229</v>
      </c>
      <c r="F776">
        <v>862660</v>
      </c>
      <c r="G776">
        <v>105</v>
      </c>
      <c r="H776">
        <v>924</v>
      </c>
    </row>
    <row r="777" spans="1:8" x14ac:dyDescent="0.3">
      <c r="A777">
        <v>2021</v>
      </c>
      <c r="B777" t="s">
        <v>21</v>
      </c>
      <c r="C777" t="s">
        <v>15</v>
      </c>
      <c r="D777" t="s">
        <v>122</v>
      </c>
      <c r="E777" t="s">
        <v>231</v>
      </c>
      <c r="F777">
        <v>883137.92</v>
      </c>
      <c r="G777">
        <v>166</v>
      </c>
      <c r="H777">
        <v>934</v>
      </c>
    </row>
    <row r="778" spans="1:8" x14ac:dyDescent="0.3">
      <c r="A778">
        <v>2021</v>
      </c>
      <c r="B778" t="s">
        <v>25</v>
      </c>
      <c r="C778" t="s">
        <v>12</v>
      </c>
      <c r="D778" t="s">
        <v>89</v>
      </c>
      <c r="E778" t="s">
        <v>235</v>
      </c>
      <c r="F778">
        <v>893809</v>
      </c>
      <c r="G778">
        <v>851</v>
      </c>
      <c r="H778">
        <v>162</v>
      </c>
    </row>
    <row r="779" spans="1:8" x14ac:dyDescent="0.3">
      <c r="A779">
        <v>2021</v>
      </c>
      <c r="B779" t="s">
        <v>23</v>
      </c>
      <c r="C779" t="s">
        <v>15</v>
      </c>
      <c r="D779" t="s">
        <v>131</v>
      </c>
      <c r="E779" t="s">
        <v>231</v>
      </c>
      <c r="F779">
        <v>907698.4</v>
      </c>
      <c r="G779">
        <v>849</v>
      </c>
      <c r="H779">
        <v>156</v>
      </c>
    </row>
    <row r="780" spans="1:8" x14ac:dyDescent="0.3">
      <c r="A780">
        <v>2021</v>
      </c>
      <c r="B780" t="s">
        <v>25</v>
      </c>
      <c r="C780" t="s">
        <v>9</v>
      </c>
      <c r="D780" t="s">
        <v>107</v>
      </c>
      <c r="E780" t="s">
        <v>231</v>
      </c>
      <c r="F780">
        <v>911080.8</v>
      </c>
      <c r="G780">
        <v>601</v>
      </c>
      <c r="H780">
        <v>413</v>
      </c>
    </row>
    <row r="781" spans="1:8" x14ac:dyDescent="0.3">
      <c r="A781">
        <v>2021</v>
      </c>
      <c r="B781" t="s">
        <v>21</v>
      </c>
      <c r="C781" t="s">
        <v>11</v>
      </c>
      <c r="D781" t="s">
        <v>51</v>
      </c>
      <c r="E781" t="s">
        <v>235</v>
      </c>
      <c r="F781">
        <v>917449</v>
      </c>
      <c r="G781">
        <v>249</v>
      </c>
      <c r="H781">
        <v>975</v>
      </c>
    </row>
    <row r="782" spans="1:8" x14ac:dyDescent="0.3">
      <c r="A782">
        <v>2021</v>
      </c>
      <c r="B782" t="s">
        <v>21</v>
      </c>
      <c r="C782" t="s">
        <v>15</v>
      </c>
      <c r="D782" t="s">
        <v>124</v>
      </c>
      <c r="E782" t="s">
        <v>236</v>
      </c>
      <c r="F782">
        <v>920759</v>
      </c>
      <c r="G782">
        <v>166</v>
      </c>
      <c r="H782">
        <v>934</v>
      </c>
    </row>
    <row r="783" spans="1:8" x14ac:dyDescent="0.3">
      <c r="A783">
        <v>2021</v>
      </c>
      <c r="B783" t="s">
        <v>27</v>
      </c>
      <c r="C783" t="s">
        <v>9</v>
      </c>
      <c r="D783" t="s">
        <v>199</v>
      </c>
      <c r="E783" t="s">
        <v>232</v>
      </c>
      <c r="F783">
        <v>925289.12</v>
      </c>
      <c r="G783">
        <v>810</v>
      </c>
      <c r="H783">
        <v>657</v>
      </c>
    </row>
    <row r="784" spans="1:8" x14ac:dyDescent="0.3">
      <c r="A784">
        <v>2021</v>
      </c>
      <c r="B784" t="s">
        <v>27</v>
      </c>
      <c r="C784" t="s">
        <v>9</v>
      </c>
      <c r="D784" t="s">
        <v>101</v>
      </c>
      <c r="E784" t="s">
        <v>229</v>
      </c>
      <c r="F784">
        <v>928877.6</v>
      </c>
      <c r="G784">
        <v>962</v>
      </c>
      <c r="H784">
        <v>28</v>
      </c>
    </row>
    <row r="785" spans="1:8" x14ac:dyDescent="0.3">
      <c r="A785">
        <v>2021</v>
      </c>
      <c r="B785" t="s">
        <v>23</v>
      </c>
      <c r="C785" t="s">
        <v>15</v>
      </c>
      <c r="D785" t="s">
        <v>126</v>
      </c>
      <c r="E785" t="s">
        <v>233</v>
      </c>
      <c r="F785">
        <v>937183.52</v>
      </c>
      <c r="G785">
        <v>499</v>
      </c>
      <c r="H785">
        <v>568</v>
      </c>
    </row>
    <row r="786" spans="1:8" x14ac:dyDescent="0.3">
      <c r="A786">
        <v>2021</v>
      </c>
      <c r="B786" t="s">
        <v>23</v>
      </c>
      <c r="C786" t="s">
        <v>15</v>
      </c>
      <c r="D786" t="s">
        <v>112</v>
      </c>
      <c r="E786" t="s">
        <v>233</v>
      </c>
      <c r="F786">
        <v>949329.92000000004</v>
      </c>
      <c r="G786">
        <v>499</v>
      </c>
      <c r="H786">
        <v>568</v>
      </c>
    </row>
    <row r="787" spans="1:8" x14ac:dyDescent="0.3">
      <c r="A787">
        <v>2021</v>
      </c>
      <c r="B787" t="s">
        <v>25</v>
      </c>
      <c r="C787" t="s">
        <v>9</v>
      </c>
      <c r="D787" t="s">
        <v>220</v>
      </c>
      <c r="E787" t="s">
        <v>231</v>
      </c>
      <c r="F787">
        <v>951972</v>
      </c>
      <c r="G787">
        <v>601</v>
      </c>
      <c r="H787">
        <v>413</v>
      </c>
    </row>
    <row r="788" spans="1:8" x14ac:dyDescent="0.3">
      <c r="A788">
        <v>2021</v>
      </c>
      <c r="B788" t="s">
        <v>24</v>
      </c>
      <c r="C788" t="s">
        <v>15</v>
      </c>
      <c r="D788" t="s">
        <v>99</v>
      </c>
      <c r="E788" t="s">
        <v>229</v>
      </c>
      <c r="F788">
        <v>954561.44</v>
      </c>
      <c r="G788">
        <v>873</v>
      </c>
      <c r="H788">
        <v>287</v>
      </c>
    </row>
    <row r="789" spans="1:8" x14ac:dyDescent="0.3">
      <c r="A789">
        <v>2021</v>
      </c>
      <c r="B789" t="s">
        <v>25</v>
      </c>
      <c r="C789" t="s">
        <v>12</v>
      </c>
      <c r="D789" t="s">
        <v>227</v>
      </c>
      <c r="E789" t="s">
        <v>233</v>
      </c>
      <c r="F789">
        <v>955550</v>
      </c>
      <c r="G789">
        <v>851</v>
      </c>
      <c r="H789">
        <v>162</v>
      </c>
    </row>
    <row r="790" spans="1:8" x14ac:dyDescent="0.3">
      <c r="A790">
        <v>2021</v>
      </c>
      <c r="B790" t="s">
        <v>25</v>
      </c>
      <c r="C790" t="s">
        <v>12</v>
      </c>
      <c r="D790" t="s">
        <v>192</v>
      </c>
      <c r="E790" t="s">
        <v>232</v>
      </c>
      <c r="F790">
        <v>966179.2</v>
      </c>
      <c r="G790">
        <v>851</v>
      </c>
      <c r="H790">
        <v>162</v>
      </c>
    </row>
    <row r="791" spans="1:8" x14ac:dyDescent="0.3">
      <c r="A791">
        <v>2021</v>
      </c>
      <c r="B791" t="s">
        <v>21</v>
      </c>
      <c r="C791" t="s">
        <v>10</v>
      </c>
      <c r="D791" t="s">
        <v>135</v>
      </c>
      <c r="E791" t="s">
        <v>229</v>
      </c>
      <c r="F791">
        <v>972447.84</v>
      </c>
      <c r="G791">
        <v>975</v>
      </c>
      <c r="H791">
        <v>282</v>
      </c>
    </row>
    <row r="792" spans="1:8" x14ac:dyDescent="0.3">
      <c r="A792">
        <v>2021</v>
      </c>
      <c r="B792" t="s">
        <v>23</v>
      </c>
      <c r="C792" t="s">
        <v>9</v>
      </c>
      <c r="D792" t="s">
        <v>219</v>
      </c>
      <c r="E792" t="s">
        <v>235</v>
      </c>
      <c r="F792">
        <v>972776</v>
      </c>
      <c r="G792">
        <v>351</v>
      </c>
      <c r="H792">
        <v>918</v>
      </c>
    </row>
    <row r="793" spans="1:8" x14ac:dyDescent="0.3">
      <c r="A793">
        <v>2021</v>
      </c>
      <c r="B793" t="s">
        <v>22</v>
      </c>
      <c r="C793" t="s">
        <v>9</v>
      </c>
      <c r="D793" t="s">
        <v>134</v>
      </c>
      <c r="E793" t="s">
        <v>228</v>
      </c>
      <c r="F793">
        <v>972776</v>
      </c>
      <c r="G793">
        <v>573</v>
      </c>
      <c r="H793">
        <v>784</v>
      </c>
    </row>
    <row r="794" spans="1:8" x14ac:dyDescent="0.3">
      <c r="A794">
        <v>2021</v>
      </c>
      <c r="B794" t="s">
        <v>23</v>
      </c>
      <c r="C794" t="s">
        <v>15</v>
      </c>
      <c r="D794" t="s">
        <v>181</v>
      </c>
      <c r="E794" t="s">
        <v>231</v>
      </c>
      <c r="F794">
        <v>975331</v>
      </c>
      <c r="G794">
        <v>849</v>
      </c>
      <c r="H794">
        <v>156</v>
      </c>
    </row>
    <row r="795" spans="1:8" x14ac:dyDescent="0.3">
      <c r="A795">
        <v>2021</v>
      </c>
      <c r="B795" t="s">
        <v>22</v>
      </c>
      <c r="C795" t="s">
        <v>16</v>
      </c>
      <c r="D795" t="s">
        <v>133</v>
      </c>
      <c r="E795" t="s">
        <v>231</v>
      </c>
      <c r="F795">
        <v>979711.89119999995</v>
      </c>
      <c r="G795">
        <v>911</v>
      </c>
      <c r="H795">
        <v>105</v>
      </c>
    </row>
    <row r="796" spans="1:8" x14ac:dyDescent="0.3">
      <c r="A796">
        <v>2021</v>
      </c>
      <c r="B796" t="s">
        <v>23</v>
      </c>
      <c r="C796" t="s">
        <v>16</v>
      </c>
      <c r="D796" t="s">
        <v>81</v>
      </c>
      <c r="E796" t="s">
        <v>236</v>
      </c>
      <c r="F796">
        <v>987995.67999999993</v>
      </c>
      <c r="G796">
        <v>98</v>
      </c>
      <c r="H796">
        <v>968</v>
      </c>
    </row>
    <row r="797" spans="1:8" x14ac:dyDescent="0.3">
      <c r="A797">
        <v>2021</v>
      </c>
      <c r="B797" t="s">
        <v>25</v>
      </c>
      <c r="C797" t="s">
        <v>17</v>
      </c>
      <c r="D797" t="s">
        <v>83</v>
      </c>
      <c r="E797" t="s">
        <v>233</v>
      </c>
      <c r="F797">
        <v>1001880.32</v>
      </c>
      <c r="G797">
        <v>479</v>
      </c>
      <c r="H797">
        <v>934</v>
      </c>
    </row>
    <row r="798" spans="1:8" x14ac:dyDescent="0.3">
      <c r="A798">
        <v>2021</v>
      </c>
      <c r="B798" t="s">
        <v>20</v>
      </c>
      <c r="C798" t="s">
        <v>8</v>
      </c>
      <c r="D798" t="s">
        <v>208</v>
      </c>
      <c r="E798" t="s">
        <v>228</v>
      </c>
      <c r="F798">
        <v>1019351.2</v>
      </c>
      <c r="G798">
        <v>386</v>
      </c>
      <c r="H798">
        <v>287</v>
      </c>
    </row>
    <row r="799" spans="1:8" x14ac:dyDescent="0.3">
      <c r="A799">
        <v>2021</v>
      </c>
      <c r="B799" t="s">
        <v>21</v>
      </c>
      <c r="C799" t="s">
        <v>15</v>
      </c>
      <c r="D799" t="s">
        <v>94</v>
      </c>
      <c r="E799" t="s">
        <v>229</v>
      </c>
      <c r="F799">
        <v>1029721.28</v>
      </c>
      <c r="G799">
        <v>232</v>
      </c>
      <c r="H799">
        <v>351</v>
      </c>
    </row>
    <row r="800" spans="1:8" x14ac:dyDescent="0.3">
      <c r="A800">
        <v>2021</v>
      </c>
      <c r="B800" t="s">
        <v>25</v>
      </c>
      <c r="C800" t="s">
        <v>8</v>
      </c>
      <c r="D800" t="s">
        <v>212</v>
      </c>
      <c r="E800" t="s">
        <v>232</v>
      </c>
      <c r="F800">
        <v>1031250.08</v>
      </c>
      <c r="G800">
        <v>616</v>
      </c>
      <c r="H800">
        <v>398</v>
      </c>
    </row>
    <row r="801" spans="1:8" x14ac:dyDescent="0.3">
      <c r="A801">
        <v>2021</v>
      </c>
      <c r="B801" t="s">
        <v>21</v>
      </c>
      <c r="C801" t="s">
        <v>13</v>
      </c>
      <c r="D801" t="s">
        <v>166</v>
      </c>
      <c r="E801" t="s">
        <v>232</v>
      </c>
      <c r="F801">
        <v>1032643.36</v>
      </c>
      <c r="G801">
        <v>61</v>
      </c>
      <c r="H801">
        <v>28</v>
      </c>
    </row>
    <row r="802" spans="1:8" x14ac:dyDescent="0.3">
      <c r="A802">
        <v>2021</v>
      </c>
      <c r="B802" t="s">
        <v>18</v>
      </c>
      <c r="C802" t="s">
        <v>8</v>
      </c>
      <c r="D802" t="s">
        <v>204</v>
      </c>
      <c r="E802" t="s">
        <v>231</v>
      </c>
      <c r="F802">
        <v>1053598.56</v>
      </c>
      <c r="G802">
        <v>256</v>
      </c>
      <c r="H802">
        <v>839</v>
      </c>
    </row>
    <row r="803" spans="1:8" x14ac:dyDescent="0.3">
      <c r="A803">
        <v>2021</v>
      </c>
      <c r="B803" t="s">
        <v>22</v>
      </c>
      <c r="C803" t="s">
        <v>14</v>
      </c>
      <c r="D803" t="s">
        <v>139</v>
      </c>
      <c r="E803" t="s">
        <v>232</v>
      </c>
      <c r="F803">
        <v>1055253.92</v>
      </c>
      <c r="G803">
        <v>843</v>
      </c>
      <c r="H803">
        <v>839</v>
      </c>
    </row>
    <row r="804" spans="1:8" x14ac:dyDescent="0.3">
      <c r="A804">
        <v>2021</v>
      </c>
      <c r="B804" t="s">
        <v>19</v>
      </c>
      <c r="C804" t="s">
        <v>16</v>
      </c>
      <c r="D804" t="s">
        <v>194</v>
      </c>
      <c r="E804" t="s">
        <v>235</v>
      </c>
      <c r="F804">
        <v>1092711.2</v>
      </c>
      <c r="G804">
        <v>268</v>
      </c>
      <c r="H804">
        <v>118</v>
      </c>
    </row>
    <row r="805" spans="1:8" x14ac:dyDescent="0.3">
      <c r="A805">
        <v>2021</v>
      </c>
      <c r="B805" t="s">
        <v>18</v>
      </c>
      <c r="C805" t="s">
        <v>8</v>
      </c>
      <c r="D805" t="s">
        <v>196</v>
      </c>
      <c r="E805" t="s">
        <v>231</v>
      </c>
      <c r="F805">
        <v>1102130.3999999999</v>
      </c>
      <c r="G805">
        <v>256</v>
      </c>
      <c r="H805">
        <v>839</v>
      </c>
    </row>
    <row r="806" spans="1:8" x14ac:dyDescent="0.3">
      <c r="A806">
        <v>2021</v>
      </c>
      <c r="B806" t="s">
        <v>23</v>
      </c>
      <c r="C806" t="s">
        <v>9</v>
      </c>
      <c r="D806" t="s">
        <v>206</v>
      </c>
      <c r="E806" t="s">
        <v>235</v>
      </c>
      <c r="F806">
        <v>1109916.6399999999</v>
      </c>
      <c r="G806">
        <v>351</v>
      </c>
      <c r="H806">
        <v>918</v>
      </c>
    </row>
    <row r="807" spans="1:8" x14ac:dyDescent="0.3">
      <c r="A807">
        <v>2021</v>
      </c>
      <c r="B807" t="s">
        <v>24</v>
      </c>
      <c r="C807" t="s">
        <v>13</v>
      </c>
      <c r="D807" t="s">
        <v>100</v>
      </c>
      <c r="E807" t="s">
        <v>235</v>
      </c>
      <c r="F807">
        <v>1115106.72</v>
      </c>
      <c r="G807">
        <v>591</v>
      </c>
      <c r="H807">
        <v>810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360EF-FD45-4213-9DBC-AD96F9CB9F30}">
  <dimension ref="A2:M30"/>
  <sheetViews>
    <sheetView topLeftCell="A3" workbookViewId="0">
      <selection activeCell="J23" sqref="J23:N24"/>
    </sheetView>
  </sheetViews>
  <sheetFormatPr defaultRowHeight="14.4" x14ac:dyDescent="0.3"/>
  <cols>
    <col min="1" max="2" width="12.5546875" bestFit="1" customWidth="1"/>
    <col min="3" max="3" width="14.44140625" bestFit="1" customWidth="1"/>
    <col min="4" max="4" width="11" customWidth="1"/>
    <col min="5" max="5" width="13.21875" bestFit="1" customWidth="1"/>
    <col min="6" max="6" width="12.5546875" bestFit="1" customWidth="1"/>
    <col min="7" max="7" width="13.109375" bestFit="1" customWidth="1"/>
    <col min="8" max="8" width="12.5546875" bestFit="1" customWidth="1"/>
    <col min="9" max="9" width="14.44140625" bestFit="1" customWidth="1"/>
    <col min="10" max="10" width="13.109375" bestFit="1" customWidth="1"/>
    <col min="11" max="11" width="12.5546875" bestFit="1" customWidth="1"/>
    <col min="12" max="13" width="23.88671875" bestFit="1" customWidth="1"/>
    <col min="14" max="14" width="12" customWidth="1"/>
    <col min="15" max="15" width="12" bestFit="1" customWidth="1"/>
    <col min="16" max="16" width="11" bestFit="1" customWidth="1"/>
    <col min="17" max="17" width="10" bestFit="1" customWidth="1"/>
    <col min="18" max="19" width="11" bestFit="1" customWidth="1"/>
    <col min="20" max="20" width="12" bestFit="1" customWidth="1"/>
    <col min="21" max="21" width="11" bestFit="1" customWidth="1"/>
    <col min="22" max="22" width="12" bestFit="1" customWidth="1"/>
    <col min="23" max="25" width="11" bestFit="1" customWidth="1"/>
    <col min="26" max="26" width="10" bestFit="1" customWidth="1"/>
    <col min="27" max="27" width="12" bestFit="1" customWidth="1"/>
    <col min="28" max="31" width="11" bestFit="1" customWidth="1"/>
    <col min="32" max="33" width="10" bestFit="1" customWidth="1"/>
    <col min="34" max="34" width="12" bestFit="1" customWidth="1"/>
    <col min="35" max="35" width="11" bestFit="1" customWidth="1"/>
    <col min="36" max="36" width="12" bestFit="1" customWidth="1"/>
    <col min="37" max="37" width="11" bestFit="1" customWidth="1"/>
    <col min="38" max="38" width="8" bestFit="1" customWidth="1"/>
    <col min="39" max="41" width="12" bestFit="1" customWidth="1"/>
    <col min="42" max="42" width="10" bestFit="1" customWidth="1"/>
    <col min="43" max="43" width="11" bestFit="1" customWidth="1"/>
    <col min="44" max="44" width="12" bestFit="1" customWidth="1"/>
    <col min="45" max="46" width="11" bestFit="1" customWidth="1"/>
    <col min="47" max="47" width="12" bestFit="1" customWidth="1"/>
    <col min="48" max="48" width="11" bestFit="1" customWidth="1"/>
    <col min="49" max="49" width="12" bestFit="1" customWidth="1"/>
    <col min="50" max="51" width="11" bestFit="1" customWidth="1"/>
    <col min="52" max="52" width="12" bestFit="1" customWidth="1"/>
    <col min="53" max="53" width="11" bestFit="1" customWidth="1"/>
    <col min="54" max="55" width="10" bestFit="1" customWidth="1"/>
    <col min="56" max="57" width="11" bestFit="1" customWidth="1"/>
    <col min="58" max="58" width="12" bestFit="1" customWidth="1"/>
    <col min="59" max="59" width="8" bestFit="1" customWidth="1"/>
    <col min="60" max="60" width="12" bestFit="1" customWidth="1"/>
    <col min="61" max="61" width="11" bestFit="1" customWidth="1"/>
    <col min="62" max="62" width="12" bestFit="1" customWidth="1"/>
    <col min="63" max="63" width="10" bestFit="1" customWidth="1"/>
    <col min="64" max="65" width="11" bestFit="1" customWidth="1"/>
    <col min="66" max="66" width="12" bestFit="1" customWidth="1"/>
    <col min="67" max="68" width="11" bestFit="1" customWidth="1"/>
    <col min="69" max="69" width="9" bestFit="1" customWidth="1"/>
    <col min="70" max="70" width="10.5546875" bestFit="1" customWidth="1"/>
  </cols>
  <sheetData>
    <row r="2" spans="1:12" x14ac:dyDescent="0.3">
      <c r="A2" t="s">
        <v>240</v>
      </c>
    </row>
    <row r="3" spans="1:12" x14ac:dyDescent="0.3">
      <c r="A3" s="17" t="s">
        <v>238</v>
      </c>
      <c r="B3" t="s">
        <v>237</v>
      </c>
      <c r="E3" s="17" t="s">
        <v>238</v>
      </c>
      <c r="F3" t="s">
        <v>237</v>
      </c>
      <c r="H3" s="17" t="s">
        <v>238</v>
      </c>
      <c r="I3" t="s">
        <v>237</v>
      </c>
      <c r="K3" s="17" t="s">
        <v>238</v>
      </c>
      <c r="L3" t="s">
        <v>237</v>
      </c>
    </row>
    <row r="4" spans="1:12" x14ac:dyDescent="0.3">
      <c r="A4" s="18">
        <v>2021</v>
      </c>
      <c r="B4" s="16">
        <v>96776538.179199994</v>
      </c>
      <c r="E4" s="18" t="s">
        <v>18</v>
      </c>
      <c r="F4" s="16">
        <v>37717688.848767996</v>
      </c>
      <c r="H4" s="18" t="s">
        <v>228</v>
      </c>
      <c r="I4" s="16">
        <v>32889140.813312039</v>
      </c>
      <c r="K4" s="18" t="s">
        <v>127</v>
      </c>
      <c r="L4" s="16">
        <v>5594929.8531840006</v>
      </c>
    </row>
    <row r="5" spans="1:12" x14ac:dyDescent="0.3">
      <c r="A5" s="18">
        <v>2022</v>
      </c>
      <c r="B5" s="16">
        <v>108753358.56</v>
      </c>
      <c r="E5" s="18" t="s">
        <v>27</v>
      </c>
      <c r="F5" s="16">
        <v>37581014.665215984</v>
      </c>
      <c r="H5" s="18" t="s">
        <v>229</v>
      </c>
      <c r="I5" s="16">
        <v>68979430.933247998</v>
      </c>
      <c r="K5" s="18" t="s">
        <v>142</v>
      </c>
      <c r="L5" s="16">
        <v>5697306.1393920006</v>
      </c>
    </row>
    <row r="6" spans="1:12" x14ac:dyDescent="0.3">
      <c r="A6" s="18">
        <v>2023</v>
      </c>
      <c r="B6" s="16">
        <v>111014327.55839995</v>
      </c>
      <c r="E6" s="18" t="s">
        <v>19</v>
      </c>
      <c r="F6" s="16">
        <v>64865930.992895998</v>
      </c>
      <c r="H6" s="18" t="s">
        <v>230</v>
      </c>
      <c r="I6" s="16">
        <v>38584046.809023999</v>
      </c>
      <c r="K6" s="18" t="s">
        <v>158</v>
      </c>
      <c r="L6" s="16">
        <v>5212820.4817919992</v>
      </c>
    </row>
    <row r="7" spans="1:12" x14ac:dyDescent="0.3">
      <c r="A7" s="18">
        <v>2024</v>
      </c>
      <c r="B7" s="16">
        <v>160340001.67987177</v>
      </c>
      <c r="E7" s="18" t="s">
        <v>20</v>
      </c>
      <c r="F7" s="16">
        <v>37042038.400256008</v>
      </c>
      <c r="H7" s="18" t="s">
        <v>231</v>
      </c>
      <c r="I7" s="16">
        <v>69405218.359999999</v>
      </c>
      <c r="K7" s="18" t="s">
        <v>174</v>
      </c>
      <c r="L7" s="16">
        <v>5273464.390656</v>
      </c>
    </row>
    <row r="8" spans="1:12" x14ac:dyDescent="0.3">
      <c r="A8" s="18" t="s">
        <v>239</v>
      </c>
      <c r="B8" s="16">
        <v>476884225.97747302</v>
      </c>
      <c r="E8" s="18" t="s">
        <v>21</v>
      </c>
      <c r="F8" s="16">
        <v>73995247.361151993</v>
      </c>
      <c r="H8" s="18" t="s">
        <v>232</v>
      </c>
      <c r="I8" s="16">
        <v>71503450.668992013</v>
      </c>
      <c r="K8" s="18" t="s">
        <v>177</v>
      </c>
      <c r="L8" s="16">
        <v>10803857.069824001</v>
      </c>
    </row>
    <row r="9" spans="1:12" x14ac:dyDescent="0.3">
      <c r="E9" s="18" t="s">
        <v>22</v>
      </c>
      <c r="F9" s="16">
        <v>29276846.823679999</v>
      </c>
      <c r="H9" s="18" t="s">
        <v>233</v>
      </c>
      <c r="I9" s="16">
        <v>54140440.293567978</v>
      </c>
      <c r="K9" s="18" t="s">
        <v>181</v>
      </c>
      <c r="L9" s="16">
        <v>5996733.1007359996</v>
      </c>
    </row>
    <row r="10" spans="1:12" x14ac:dyDescent="0.3">
      <c r="E10" s="18" t="s">
        <v>23</v>
      </c>
      <c r="F10" s="16">
        <v>57629535.463295981</v>
      </c>
      <c r="H10" s="18" t="s">
        <v>234</v>
      </c>
      <c r="I10" s="16">
        <v>55340609.207808003</v>
      </c>
      <c r="K10" s="18" t="s">
        <v>51</v>
      </c>
      <c r="L10" s="16">
        <v>5984702.2413439993</v>
      </c>
    </row>
    <row r="11" spans="1:12" x14ac:dyDescent="0.3">
      <c r="E11" s="18" t="s">
        <v>24</v>
      </c>
      <c r="F11" s="16">
        <v>38967818.394175984</v>
      </c>
      <c r="H11" s="18" t="s">
        <v>235</v>
      </c>
      <c r="I11" s="16">
        <v>38777680.029376</v>
      </c>
      <c r="K11" s="18" t="s">
        <v>99</v>
      </c>
      <c r="L11" s="16">
        <v>5991924.2181119993</v>
      </c>
    </row>
    <row r="12" spans="1:12" x14ac:dyDescent="0.3">
      <c r="E12" s="18" t="s">
        <v>25</v>
      </c>
      <c r="F12" s="16">
        <v>72576812.604863971</v>
      </c>
      <c r="H12" s="18" t="s">
        <v>236</v>
      </c>
      <c r="I12" s="16">
        <v>47264208.862143964</v>
      </c>
      <c r="K12" s="18" t="s">
        <v>113</v>
      </c>
      <c r="L12" s="16">
        <v>5666278.0195839992</v>
      </c>
    </row>
    <row r="13" spans="1:12" x14ac:dyDescent="0.3">
      <c r="E13" s="18" t="s">
        <v>26</v>
      </c>
      <c r="F13" s="16">
        <v>27231292.423168004</v>
      </c>
      <c r="H13" s="18" t="s">
        <v>239</v>
      </c>
      <c r="I13" s="16">
        <v>476884225.97747302</v>
      </c>
      <c r="K13" s="18" t="s">
        <v>124</v>
      </c>
      <c r="L13" s="16">
        <v>6195274.323392</v>
      </c>
    </row>
    <row r="14" spans="1:12" x14ac:dyDescent="0.3">
      <c r="E14" s="18" t="s">
        <v>239</v>
      </c>
      <c r="F14" s="16">
        <v>476884225.97747302</v>
      </c>
      <c r="K14" s="18" t="s">
        <v>239</v>
      </c>
      <c r="L14" s="16">
        <v>62417289.838015996</v>
      </c>
    </row>
    <row r="18" spans="2:13" x14ac:dyDescent="0.3">
      <c r="F18" s="17" t="s">
        <v>238</v>
      </c>
      <c r="G18" t="s">
        <v>242</v>
      </c>
      <c r="I18" t="s">
        <v>237</v>
      </c>
      <c r="J18" t="s">
        <v>242</v>
      </c>
      <c r="K18" t="s">
        <v>241</v>
      </c>
      <c r="L18" t="s">
        <v>252</v>
      </c>
    </row>
    <row r="19" spans="2:13" x14ac:dyDescent="0.3">
      <c r="B19" s="17" t="s">
        <v>238</v>
      </c>
      <c r="C19" t="s">
        <v>237</v>
      </c>
      <c r="F19" s="18">
        <v>168</v>
      </c>
      <c r="G19" s="16">
        <v>3104</v>
      </c>
      <c r="I19" s="19">
        <v>476884225.97747302</v>
      </c>
      <c r="J19" s="16">
        <v>448732</v>
      </c>
      <c r="K19" s="16">
        <v>463456</v>
      </c>
      <c r="L19" s="16">
        <v>200</v>
      </c>
    </row>
    <row r="20" spans="2:13" x14ac:dyDescent="0.3">
      <c r="B20" s="18">
        <v>168</v>
      </c>
      <c r="C20" s="16">
        <v>22534558.147583999</v>
      </c>
      <c r="F20" s="18">
        <v>312</v>
      </c>
      <c r="G20" s="16">
        <v>38337</v>
      </c>
    </row>
    <row r="21" spans="2:13" x14ac:dyDescent="0.3">
      <c r="B21" s="18">
        <v>312</v>
      </c>
      <c r="C21" s="16">
        <v>28207774.68364799</v>
      </c>
      <c r="F21" s="18">
        <v>403</v>
      </c>
      <c r="G21" s="16">
        <v>32402</v>
      </c>
    </row>
    <row r="22" spans="2:13" x14ac:dyDescent="0.3">
      <c r="B22" s="18">
        <v>403</v>
      </c>
      <c r="C22" s="16">
        <v>19750975.141632006</v>
      </c>
      <c r="F22" s="18">
        <v>413</v>
      </c>
      <c r="G22" s="16">
        <v>33480</v>
      </c>
    </row>
    <row r="23" spans="2:13" x14ac:dyDescent="0.3">
      <c r="B23" s="18">
        <v>413</v>
      </c>
      <c r="C23" s="16">
        <v>20936625.798144005</v>
      </c>
      <c r="F23" s="18">
        <v>568</v>
      </c>
      <c r="G23" s="16">
        <v>13635</v>
      </c>
      <c r="J23" t="s">
        <v>237</v>
      </c>
      <c r="K23" t="s">
        <v>242</v>
      </c>
      <c r="L23" t="s">
        <v>241</v>
      </c>
      <c r="M23" t="s">
        <v>252</v>
      </c>
    </row>
    <row r="24" spans="2:13" x14ac:dyDescent="0.3">
      <c r="B24" s="18">
        <v>568</v>
      </c>
      <c r="C24" s="16">
        <v>19519517.045504</v>
      </c>
      <c r="F24" s="18">
        <v>577</v>
      </c>
      <c r="G24" s="16">
        <v>5775</v>
      </c>
      <c r="J24" s="19">
        <v>476884225.97747302</v>
      </c>
      <c r="K24" s="16">
        <v>448732</v>
      </c>
      <c r="L24" s="16">
        <v>463456</v>
      </c>
      <c r="M24" s="16">
        <v>200</v>
      </c>
    </row>
    <row r="25" spans="2:13" x14ac:dyDescent="0.3">
      <c r="B25" s="18">
        <v>577</v>
      </c>
      <c r="C25" s="16">
        <v>23996555.306752004</v>
      </c>
      <c r="F25" s="18">
        <v>610</v>
      </c>
      <c r="G25" s="16">
        <v>35414</v>
      </c>
    </row>
    <row r="26" spans="2:13" x14ac:dyDescent="0.3">
      <c r="B26" s="18">
        <v>610</v>
      </c>
      <c r="C26" s="16">
        <v>24011402.158528</v>
      </c>
      <c r="F26" s="18">
        <v>692</v>
      </c>
      <c r="G26" s="16">
        <v>10500</v>
      </c>
    </row>
    <row r="27" spans="2:13" x14ac:dyDescent="0.3">
      <c r="B27" s="18">
        <v>692</v>
      </c>
      <c r="C27" s="16">
        <v>18989051.565567996</v>
      </c>
      <c r="F27" s="18">
        <v>839</v>
      </c>
      <c r="G27" s="16">
        <v>45446</v>
      </c>
    </row>
    <row r="28" spans="2:13" x14ac:dyDescent="0.3">
      <c r="B28" s="18">
        <v>839</v>
      </c>
      <c r="C28" s="16">
        <v>48269231.374335974</v>
      </c>
      <c r="F28" s="18">
        <v>872</v>
      </c>
      <c r="G28" s="16">
        <v>8466</v>
      </c>
    </row>
    <row r="29" spans="2:13" x14ac:dyDescent="0.3">
      <c r="B29" s="18">
        <v>872</v>
      </c>
      <c r="C29" s="16">
        <v>21873540.609536</v>
      </c>
      <c r="F29" s="18" t="s">
        <v>239</v>
      </c>
      <c r="G29" s="16">
        <v>226559</v>
      </c>
    </row>
    <row r="30" spans="2:13" x14ac:dyDescent="0.3">
      <c r="B30" s="18" t="s">
        <v>239</v>
      </c>
      <c r="C30" s="16">
        <v>248089231.83123183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D45E1-B9E8-7C43-BE67-708F74AE53A3}">
  <dimension ref="A1:I811"/>
  <sheetViews>
    <sheetView workbookViewId="0">
      <selection sqref="A1:H806"/>
    </sheetView>
  </sheetViews>
  <sheetFormatPr defaultColWidth="19.44140625" defaultRowHeight="25.8" x14ac:dyDescent="0.5"/>
  <cols>
    <col min="1" max="1" width="20" style="1" customWidth="1"/>
    <col min="2" max="2" width="22.6640625" style="1" customWidth="1"/>
    <col min="3" max="3" width="19" style="1" customWidth="1"/>
    <col min="4" max="4" width="30.33203125" style="1" customWidth="1"/>
    <col min="5" max="5" width="17.109375" style="3" customWidth="1"/>
    <col min="6" max="6" width="25.33203125" style="1" customWidth="1"/>
    <col min="7" max="7" width="21.109375" style="1" customWidth="1"/>
    <col min="8" max="8" width="19" style="3" customWidth="1"/>
    <col min="9" max="9" width="19.44140625" style="3"/>
    <col min="10" max="16384" width="19.44140625" style="2"/>
  </cols>
  <sheetData>
    <row r="1" spans="1:9" x14ac:dyDescent="0.3">
      <c r="A1" s="5" t="s">
        <v>0</v>
      </c>
      <c r="B1" s="6" t="s">
        <v>1</v>
      </c>
      <c r="C1" s="6" t="s">
        <v>2</v>
      </c>
      <c r="D1" s="6" t="s">
        <v>3</v>
      </c>
      <c r="E1" s="6" t="s">
        <v>4</v>
      </c>
      <c r="F1" s="6" t="s">
        <v>5</v>
      </c>
      <c r="G1" s="6" t="s">
        <v>6</v>
      </c>
      <c r="H1" s="7" t="s">
        <v>7</v>
      </c>
      <c r="I1" s="1"/>
    </row>
    <row r="2" spans="1:9" x14ac:dyDescent="0.3">
      <c r="A2" s="8">
        <v>2024</v>
      </c>
      <c r="B2" s="9" t="s">
        <v>18</v>
      </c>
      <c r="C2" s="9" t="s">
        <v>8</v>
      </c>
      <c r="D2" s="9" t="s">
        <v>28</v>
      </c>
      <c r="E2" s="9" t="s">
        <v>228</v>
      </c>
      <c r="F2" s="10">
        <v>143372.43648000003</v>
      </c>
      <c r="G2" s="10">
        <v>795</v>
      </c>
      <c r="H2" s="11">
        <v>469</v>
      </c>
      <c r="I2" s="1"/>
    </row>
    <row r="3" spans="1:9" x14ac:dyDescent="0.3">
      <c r="A3" s="8">
        <v>2024</v>
      </c>
      <c r="B3" s="9" t="s">
        <v>19</v>
      </c>
      <c r="C3" s="9" t="s">
        <v>8</v>
      </c>
      <c r="D3" s="9" t="s">
        <v>29</v>
      </c>
      <c r="E3" s="9" t="s">
        <v>229</v>
      </c>
      <c r="F3" s="10">
        <v>146688.046848</v>
      </c>
      <c r="G3" s="10">
        <v>312</v>
      </c>
      <c r="H3" s="11">
        <v>983</v>
      </c>
      <c r="I3" s="1"/>
    </row>
    <row r="4" spans="1:9" x14ac:dyDescent="0.3">
      <c r="A4" s="8">
        <v>2024</v>
      </c>
      <c r="B4" s="9" t="s">
        <v>20</v>
      </c>
      <c r="C4" s="9" t="s">
        <v>8</v>
      </c>
      <c r="D4" s="9" t="s">
        <v>30</v>
      </c>
      <c r="E4" s="9" t="s">
        <v>230</v>
      </c>
      <c r="F4" s="10">
        <v>154878.15168000001</v>
      </c>
      <c r="G4" s="10">
        <v>795</v>
      </c>
      <c r="H4" s="11">
        <v>469</v>
      </c>
      <c r="I4" s="1"/>
    </row>
    <row r="5" spans="1:9" x14ac:dyDescent="0.3">
      <c r="A5" s="8">
        <v>2024</v>
      </c>
      <c r="B5" s="9" t="s">
        <v>21</v>
      </c>
      <c r="C5" s="9" t="s">
        <v>8</v>
      </c>
      <c r="D5" s="9" t="s">
        <v>31</v>
      </c>
      <c r="E5" s="9" t="s">
        <v>231</v>
      </c>
      <c r="F5" s="10">
        <v>162358.269696</v>
      </c>
      <c r="G5" s="10">
        <v>692</v>
      </c>
      <c r="H5" s="11">
        <v>300</v>
      </c>
      <c r="I5" s="1"/>
    </row>
    <row r="6" spans="1:9" x14ac:dyDescent="0.3">
      <c r="A6" s="8">
        <v>2024</v>
      </c>
      <c r="B6" s="9" t="s">
        <v>21</v>
      </c>
      <c r="C6" s="9" t="s">
        <v>8</v>
      </c>
      <c r="D6" s="9" t="s">
        <v>32</v>
      </c>
      <c r="E6" s="9" t="s">
        <v>232</v>
      </c>
      <c r="F6" s="10">
        <v>173427.6096</v>
      </c>
      <c r="G6" s="10">
        <v>692</v>
      </c>
      <c r="H6" s="11">
        <v>300</v>
      </c>
      <c r="I6" s="1"/>
    </row>
    <row r="7" spans="1:9" x14ac:dyDescent="0.3">
      <c r="A7" s="8">
        <v>2024</v>
      </c>
      <c r="B7" s="9" t="s">
        <v>22</v>
      </c>
      <c r="C7" s="9" t="s">
        <v>8</v>
      </c>
      <c r="D7" s="9" t="s">
        <v>33</v>
      </c>
      <c r="E7" s="9" t="s">
        <v>228</v>
      </c>
      <c r="F7" s="10">
        <v>180011.123712</v>
      </c>
      <c r="G7" s="10">
        <v>403</v>
      </c>
      <c r="H7" s="11">
        <v>953</v>
      </c>
      <c r="I7" s="1"/>
    </row>
    <row r="8" spans="1:9" x14ac:dyDescent="0.3">
      <c r="A8" s="8">
        <v>2024</v>
      </c>
      <c r="B8" s="9" t="s">
        <v>21</v>
      </c>
      <c r="C8" s="9" t="s">
        <v>8</v>
      </c>
      <c r="D8" s="9" t="s">
        <v>34</v>
      </c>
      <c r="E8" s="9" t="s">
        <v>233</v>
      </c>
      <c r="F8" s="10">
        <v>181755.22176000001</v>
      </c>
      <c r="G8" s="10">
        <v>168</v>
      </c>
      <c r="H8" s="11">
        <v>97</v>
      </c>
      <c r="I8" s="1"/>
    </row>
    <row r="9" spans="1:9" x14ac:dyDescent="0.3">
      <c r="A9" s="8">
        <v>2024</v>
      </c>
      <c r="B9" s="9" t="s">
        <v>23</v>
      </c>
      <c r="C9" s="9" t="s">
        <v>8</v>
      </c>
      <c r="D9" s="9" t="s">
        <v>35</v>
      </c>
      <c r="E9" s="9" t="s">
        <v>232</v>
      </c>
      <c r="F9" s="10">
        <v>185515.62623999998</v>
      </c>
      <c r="G9" s="10">
        <v>839</v>
      </c>
      <c r="H9" s="11">
        <v>983</v>
      </c>
      <c r="I9" s="1"/>
    </row>
    <row r="10" spans="1:9" x14ac:dyDescent="0.3">
      <c r="A10" s="8">
        <v>2024</v>
      </c>
      <c r="B10" s="9" t="s">
        <v>24</v>
      </c>
      <c r="C10" s="9" t="s">
        <v>8</v>
      </c>
      <c r="D10" s="9" t="s">
        <v>36</v>
      </c>
      <c r="E10" s="9" t="s">
        <v>228</v>
      </c>
      <c r="F10" s="10">
        <v>189205.87391999998</v>
      </c>
      <c r="G10" s="10">
        <v>610</v>
      </c>
      <c r="H10" s="11">
        <v>970</v>
      </c>
      <c r="I10" s="1"/>
    </row>
    <row r="11" spans="1:9" x14ac:dyDescent="0.3">
      <c r="A11" s="8">
        <v>2024</v>
      </c>
      <c r="B11" s="9" t="s">
        <v>19</v>
      </c>
      <c r="C11" s="9" t="s">
        <v>8</v>
      </c>
      <c r="D11" s="9" t="s">
        <v>37</v>
      </c>
      <c r="E11" s="9" t="s">
        <v>229</v>
      </c>
      <c r="F11" s="10">
        <v>201783.585024</v>
      </c>
      <c r="G11" s="10">
        <v>168</v>
      </c>
      <c r="H11" s="11">
        <v>97</v>
      </c>
      <c r="I11" s="1"/>
    </row>
    <row r="12" spans="1:9" x14ac:dyDescent="0.3">
      <c r="A12" s="8">
        <v>2024</v>
      </c>
      <c r="B12" s="9" t="s">
        <v>19</v>
      </c>
      <c r="C12" s="9" t="s">
        <v>8</v>
      </c>
      <c r="D12" s="9" t="s">
        <v>38</v>
      </c>
      <c r="E12" s="9" t="s">
        <v>229</v>
      </c>
      <c r="F12" s="10">
        <v>205856.888832</v>
      </c>
      <c r="G12" s="10">
        <v>610</v>
      </c>
      <c r="H12" s="11">
        <v>970</v>
      </c>
      <c r="I12" s="1"/>
    </row>
    <row r="13" spans="1:9" x14ac:dyDescent="0.3">
      <c r="A13" s="8">
        <v>2024</v>
      </c>
      <c r="B13" s="9" t="s">
        <v>24</v>
      </c>
      <c r="C13" s="9" t="s">
        <v>8</v>
      </c>
      <c r="D13" s="9" t="s">
        <v>39</v>
      </c>
      <c r="E13" s="9" t="s">
        <v>229</v>
      </c>
      <c r="F13" s="10">
        <v>209180.91801600001</v>
      </c>
      <c r="G13" s="10">
        <v>287</v>
      </c>
      <c r="H13" s="11">
        <v>744</v>
      </c>
      <c r="I13" s="1"/>
    </row>
    <row r="14" spans="1:9" x14ac:dyDescent="0.3">
      <c r="A14" s="8">
        <v>2024</v>
      </c>
      <c r="B14" s="9" t="s">
        <v>23</v>
      </c>
      <c r="C14" s="9" t="s">
        <v>8</v>
      </c>
      <c r="D14" s="9" t="s">
        <v>40</v>
      </c>
      <c r="E14" s="9" t="s">
        <v>234</v>
      </c>
      <c r="F14" s="10">
        <v>209903.53305599999</v>
      </c>
      <c r="G14" s="10">
        <v>168</v>
      </c>
      <c r="H14" s="11">
        <v>97</v>
      </c>
      <c r="I14" s="1"/>
    </row>
    <row r="15" spans="1:9" x14ac:dyDescent="0.3">
      <c r="A15" s="8">
        <v>2024</v>
      </c>
      <c r="B15" s="9" t="s">
        <v>23</v>
      </c>
      <c r="C15" s="9" t="s">
        <v>8</v>
      </c>
      <c r="D15" s="9" t="s">
        <v>41</v>
      </c>
      <c r="E15" s="9" t="s">
        <v>232</v>
      </c>
      <c r="F15" s="10">
        <v>213040.945152</v>
      </c>
      <c r="G15" s="10">
        <v>168</v>
      </c>
      <c r="H15" s="11">
        <v>97</v>
      </c>
      <c r="I15" s="1"/>
    </row>
    <row r="16" spans="1:9" x14ac:dyDescent="0.3">
      <c r="A16" s="8">
        <v>2024</v>
      </c>
      <c r="B16" s="9" t="s">
        <v>22</v>
      </c>
      <c r="C16" s="9" t="s">
        <v>8</v>
      </c>
      <c r="D16" s="9" t="s">
        <v>42</v>
      </c>
      <c r="E16" s="9" t="s">
        <v>235</v>
      </c>
      <c r="F16" s="10">
        <v>213341.21625599999</v>
      </c>
      <c r="G16" s="10">
        <v>692</v>
      </c>
      <c r="H16" s="11">
        <v>300</v>
      </c>
      <c r="I16" s="1"/>
    </row>
    <row r="17" spans="1:9" x14ac:dyDescent="0.3">
      <c r="A17" s="8">
        <v>2024</v>
      </c>
      <c r="B17" s="9" t="s">
        <v>21</v>
      </c>
      <c r="C17" s="9" t="s">
        <v>8</v>
      </c>
      <c r="D17" s="9" t="s">
        <v>43</v>
      </c>
      <c r="E17" s="9" t="s">
        <v>234</v>
      </c>
      <c r="F17" s="10">
        <v>226860.43161599999</v>
      </c>
      <c r="G17" s="10">
        <v>784</v>
      </c>
      <c r="H17" s="11">
        <v>540</v>
      </c>
      <c r="I17" s="1"/>
    </row>
    <row r="18" spans="1:9" x14ac:dyDescent="0.3">
      <c r="A18" s="8">
        <v>2024</v>
      </c>
      <c r="B18" s="9" t="s">
        <v>18</v>
      </c>
      <c r="C18" s="9" t="s">
        <v>8</v>
      </c>
      <c r="D18" s="9" t="s">
        <v>44</v>
      </c>
      <c r="E18" s="9" t="s">
        <v>232</v>
      </c>
      <c r="F18" s="10">
        <v>232402.81881600001</v>
      </c>
      <c r="G18" s="10">
        <v>872</v>
      </c>
      <c r="H18" s="11">
        <v>249</v>
      </c>
      <c r="I18" s="1"/>
    </row>
    <row r="19" spans="1:9" x14ac:dyDescent="0.3">
      <c r="A19" s="8">
        <v>2024</v>
      </c>
      <c r="B19" s="9" t="s">
        <v>19</v>
      </c>
      <c r="C19" s="9" t="s">
        <v>8</v>
      </c>
      <c r="D19" s="9" t="s">
        <v>45</v>
      </c>
      <c r="E19" s="9" t="s">
        <v>228</v>
      </c>
      <c r="F19" s="10">
        <v>232412.64076799998</v>
      </c>
      <c r="G19" s="10">
        <v>692</v>
      </c>
      <c r="H19" s="11">
        <v>300</v>
      </c>
      <c r="I19" s="1"/>
    </row>
    <row r="20" spans="1:9" x14ac:dyDescent="0.3">
      <c r="A20" s="8">
        <v>2024</v>
      </c>
      <c r="B20" s="9" t="s">
        <v>19</v>
      </c>
      <c r="C20" s="9" t="s">
        <v>8</v>
      </c>
      <c r="D20" s="9" t="s">
        <v>46</v>
      </c>
      <c r="E20" s="9" t="s">
        <v>228</v>
      </c>
      <c r="F20" s="10">
        <v>233591.27500799997</v>
      </c>
      <c r="G20" s="10">
        <v>872</v>
      </c>
      <c r="H20" s="11">
        <v>249</v>
      </c>
      <c r="I20" s="1"/>
    </row>
    <row r="21" spans="1:9" x14ac:dyDescent="0.3">
      <c r="A21" s="8">
        <v>2024</v>
      </c>
      <c r="B21" s="9" t="s">
        <v>19</v>
      </c>
      <c r="C21" s="9" t="s">
        <v>8</v>
      </c>
      <c r="D21" s="9" t="s">
        <v>47</v>
      </c>
      <c r="E21" s="9" t="s">
        <v>232</v>
      </c>
      <c r="F21" s="10">
        <v>249246.06336</v>
      </c>
      <c r="G21" s="10">
        <v>872</v>
      </c>
      <c r="H21" s="11">
        <v>249</v>
      </c>
      <c r="I21" s="1"/>
    </row>
    <row r="22" spans="1:9" x14ac:dyDescent="0.3">
      <c r="A22" s="8">
        <v>2024</v>
      </c>
      <c r="B22" s="9" t="s">
        <v>23</v>
      </c>
      <c r="C22" s="9" t="s">
        <v>8</v>
      </c>
      <c r="D22" s="9" t="s">
        <v>48</v>
      </c>
      <c r="E22" s="9" t="s">
        <v>234</v>
      </c>
      <c r="F22" s="10">
        <v>250173.53625599999</v>
      </c>
      <c r="G22" s="10">
        <v>610</v>
      </c>
      <c r="H22" s="11">
        <v>970</v>
      </c>
      <c r="I22" s="1"/>
    </row>
    <row r="23" spans="1:9" x14ac:dyDescent="0.5">
      <c r="A23" s="8">
        <v>2024</v>
      </c>
      <c r="B23" s="9" t="s">
        <v>24</v>
      </c>
      <c r="C23" s="9" t="s">
        <v>8</v>
      </c>
      <c r="D23" s="9" t="s">
        <v>49</v>
      </c>
      <c r="E23" s="9" t="s">
        <v>230</v>
      </c>
      <c r="F23" s="10">
        <v>256566.223872</v>
      </c>
      <c r="G23" s="10">
        <v>784</v>
      </c>
      <c r="H23" s="11">
        <v>540</v>
      </c>
    </row>
    <row r="24" spans="1:9" x14ac:dyDescent="0.5">
      <c r="A24" s="8">
        <v>2024</v>
      </c>
      <c r="B24" s="9" t="s">
        <v>20</v>
      </c>
      <c r="C24" s="9" t="s">
        <v>8</v>
      </c>
      <c r="D24" s="9" t="s">
        <v>50</v>
      </c>
      <c r="E24" s="9" t="s">
        <v>228</v>
      </c>
      <c r="F24" s="10">
        <v>258394.51008000001</v>
      </c>
      <c r="G24" s="10">
        <v>795</v>
      </c>
      <c r="H24" s="11">
        <v>469</v>
      </c>
    </row>
    <row r="25" spans="1:9" x14ac:dyDescent="0.5">
      <c r="A25" s="8">
        <v>2024</v>
      </c>
      <c r="B25" s="9" t="s">
        <v>23</v>
      </c>
      <c r="C25" s="9" t="s">
        <v>8</v>
      </c>
      <c r="D25" s="9" t="s">
        <v>51</v>
      </c>
      <c r="E25" s="9" t="s">
        <v>235</v>
      </c>
      <c r="F25" s="10">
        <v>261909.36576000002</v>
      </c>
      <c r="G25" s="10">
        <v>287</v>
      </c>
      <c r="H25" s="11">
        <v>744</v>
      </c>
    </row>
    <row r="26" spans="1:9" x14ac:dyDescent="0.5">
      <c r="A26" s="8">
        <v>2024</v>
      </c>
      <c r="B26" s="9" t="s">
        <v>22</v>
      </c>
      <c r="C26" s="9" t="s">
        <v>8</v>
      </c>
      <c r="D26" s="9" t="s">
        <v>52</v>
      </c>
      <c r="E26" s="9" t="s">
        <v>232</v>
      </c>
      <c r="F26" s="10">
        <v>263263.39199999999</v>
      </c>
      <c r="G26" s="10">
        <v>93</v>
      </c>
      <c r="H26" s="11">
        <v>852</v>
      </c>
    </row>
    <row r="27" spans="1:9" x14ac:dyDescent="0.5">
      <c r="A27" s="8">
        <v>2024</v>
      </c>
      <c r="B27" s="9" t="s">
        <v>19</v>
      </c>
      <c r="C27" s="9" t="s">
        <v>8</v>
      </c>
      <c r="D27" s="9" t="s">
        <v>53</v>
      </c>
      <c r="E27" s="9" t="s">
        <v>235</v>
      </c>
      <c r="F27" s="10">
        <v>273365.97120000003</v>
      </c>
      <c r="G27" s="10">
        <v>403</v>
      </c>
      <c r="H27" s="11">
        <v>953</v>
      </c>
    </row>
    <row r="28" spans="1:9" x14ac:dyDescent="0.5">
      <c r="A28" s="8">
        <v>2024</v>
      </c>
      <c r="B28" s="9" t="s">
        <v>25</v>
      </c>
      <c r="C28" s="9" t="s">
        <v>8</v>
      </c>
      <c r="D28" s="9" t="s">
        <v>54</v>
      </c>
      <c r="E28" s="9" t="s">
        <v>232</v>
      </c>
      <c r="F28" s="10">
        <v>274155.93676800001</v>
      </c>
      <c r="G28" s="10">
        <v>968</v>
      </c>
      <c r="H28" s="11">
        <v>330</v>
      </c>
    </row>
    <row r="29" spans="1:9" x14ac:dyDescent="0.5">
      <c r="A29" s="8">
        <v>2024</v>
      </c>
      <c r="B29" s="9" t="s">
        <v>23</v>
      </c>
      <c r="C29" s="9" t="s">
        <v>8</v>
      </c>
      <c r="D29" s="9" t="s">
        <v>55</v>
      </c>
      <c r="E29" s="9" t="s">
        <v>232</v>
      </c>
      <c r="F29" s="10">
        <v>275219.51385599998</v>
      </c>
      <c r="G29" s="10">
        <v>749</v>
      </c>
      <c r="H29" s="11">
        <v>648</v>
      </c>
    </row>
    <row r="30" spans="1:9" s="4" customFormat="1" x14ac:dyDescent="0.5">
      <c r="A30" s="8">
        <v>2024</v>
      </c>
      <c r="B30" s="9" t="s">
        <v>21</v>
      </c>
      <c r="C30" s="9" t="s">
        <v>8</v>
      </c>
      <c r="D30" s="9" t="s">
        <v>56</v>
      </c>
      <c r="E30" s="9" t="s">
        <v>235</v>
      </c>
      <c r="F30" s="10">
        <v>282727.69459200004</v>
      </c>
      <c r="G30" s="10">
        <v>93</v>
      </c>
      <c r="H30" s="11">
        <v>852</v>
      </c>
      <c r="I30" s="3"/>
    </row>
    <row r="31" spans="1:9" s="4" customFormat="1" x14ac:dyDescent="0.5">
      <c r="A31" s="8">
        <v>2024</v>
      </c>
      <c r="B31" s="9" t="s">
        <v>26</v>
      </c>
      <c r="C31" s="9" t="s">
        <v>8</v>
      </c>
      <c r="D31" s="9" t="s">
        <v>57</v>
      </c>
      <c r="E31" s="9" t="s">
        <v>231</v>
      </c>
      <c r="F31" s="10">
        <v>288646.12224</v>
      </c>
      <c r="G31" s="10">
        <v>312</v>
      </c>
      <c r="H31" s="11">
        <v>983</v>
      </c>
      <c r="I31" s="3"/>
    </row>
    <row r="32" spans="1:9" s="4" customFormat="1" x14ac:dyDescent="0.5">
      <c r="A32" s="8">
        <v>2024</v>
      </c>
      <c r="B32" s="9" t="s">
        <v>24</v>
      </c>
      <c r="C32" s="9" t="s">
        <v>8</v>
      </c>
      <c r="D32" s="9" t="s">
        <v>58</v>
      </c>
      <c r="E32" s="9" t="s">
        <v>232</v>
      </c>
      <c r="F32" s="10">
        <v>294115.54636799998</v>
      </c>
      <c r="G32" s="10">
        <v>577</v>
      </c>
      <c r="H32" s="11">
        <v>175</v>
      </c>
      <c r="I32" s="3"/>
    </row>
    <row r="33" spans="1:9" s="4" customFormat="1" x14ac:dyDescent="0.5">
      <c r="A33" s="8">
        <v>2024</v>
      </c>
      <c r="B33" s="9" t="s">
        <v>24</v>
      </c>
      <c r="C33" s="9" t="s">
        <v>8</v>
      </c>
      <c r="D33" s="9" t="s">
        <v>59</v>
      </c>
      <c r="E33" s="9" t="s">
        <v>233</v>
      </c>
      <c r="F33" s="10">
        <v>299363.27500799997</v>
      </c>
      <c r="G33" s="10">
        <v>692</v>
      </c>
      <c r="H33" s="11">
        <v>300</v>
      </c>
      <c r="I33" s="3"/>
    </row>
    <row r="34" spans="1:9" s="4" customFormat="1" x14ac:dyDescent="0.5">
      <c r="A34" s="8">
        <v>2024</v>
      </c>
      <c r="B34" s="9" t="s">
        <v>23</v>
      </c>
      <c r="C34" s="9" t="s">
        <v>8</v>
      </c>
      <c r="D34" s="9" t="s">
        <v>60</v>
      </c>
      <c r="E34" s="9" t="s">
        <v>235</v>
      </c>
      <c r="F34" s="10">
        <v>312211.79136000003</v>
      </c>
      <c r="G34" s="10">
        <v>597</v>
      </c>
      <c r="H34" s="11">
        <v>287</v>
      </c>
      <c r="I34" s="3"/>
    </row>
    <row r="35" spans="1:9" s="4" customFormat="1" x14ac:dyDescent="0.5">
      <c r="A35" s="8">
        <v>2024</v>
      </c>
      <c r="B35" s="9" t="s">
        <v>27</v>
      </c>
      <c r="C35" s="9" t="s">
        <v>8</v>
      </c>
      <c r="D35" s="9" t="s">
        <v>61</v>
      </c>
      <c r="E35" s="9" t="s">
        <v>232</v>
      </c>
      <c r="F35" s="10">
        <v>313522.32038399996</v>
      </c>
      <c r="G35" s="10">
        <v>749</v>
      </c>
      <c r="H35" s="11">
        <v>648</v>
      </c>
      <c r="I35" s="3"/>
    </row>
    <row r="36" spans="1:9" s="4" customFormat="1" x14ac:dyDescent="0.5">
      <c r="A36" s="8">
        <v>2024</v>
      </c>
      <c r="B36" s="9" t="s">
        <v>21</v>
      </c>
      <c r="C36" s="9" t="s">
        <v>8</v>
      </c>
      <c r="D36" s="9" t="s">
        <v>62</v>
      </c>
      <c r="E36" s="9" t="s">
        <v>230</v>
      </c>
      <c r="F36" s="10">
        <v>319777.50067199999</v>
      </c>
      <c r="G36" s="10">
        <v>287</v>
      </c>
      <c r="H36" s="11">
        <v>744</v>
      </c>
      <c r="I36" s="3"/>
    </row>
    <row r="37" spans="1:9" s="4" customFormat="1" x14ac:dyDescent="0.5">
      <c r="A37" s="8">
        <v>2024</v>
      </c>
      <c r="B37" s="9" t="s">
        <v>19</v>
      </c>
      <c r="C37" s="9" t="s">
        <v>8</v>
      </c>
      <c r="D37" s="9" t="s">
        <v>63</v>
      </c>
      <c r="E37" s="9" t="s">
        <v>228</v>
      </c>
      <c r="F37" s="10">
        <v>329762.21644799999</v>
      </c>
      <c r="G37" s="10">
        <v>93</v>
      </c>
      <c r="H37" s="11">
        <v>852</v>
      </c>
      <c r="I37" s="3"/>
    </row>
    <row r="38" spans="1:9" s="4" customFormat="1" x14ac:dyDescent="0.5">
      <c r="A38" s="8">
        <v>2024</v>
      </c>
      <c r="B38" s="9" t="s">
        <v>19</v>
      </c>
      <c r="C38" s="9" t="s">
        <v>8</v>
      </c>
      <c r="D38" s="9" t="s">
        <v>64</v>
      </c>
      <c r="E38" s="9" t="s">
        <v>233</v>
      </c>
      <c r="F38" s="10">
        <v>333881.82374399994</v>
      </c>
      <c r="G38" s="10">
        <v>577</v>
      </c>
      <c r="H38" s="11">
        <v>175</v>
      </c>
      <c r="I38" s="3"/>
    </row>
    <row r="39" spans="1:9" s="4" customFormat="1" x14ac:dyDescent="0.5">
      <c r="A39" s="8">
        <v>2024</v>
      </c>
      <c r="B39" s="9" t="s">
        <v>23</v>
      </c>
      <c r="C39" s="9" t="s">
        <v>8</v>
      </c>
      <c r="D39" s="9" t="s">
        <v>65</v>
      </c>
      <c r="E39" s="9" t="s">
        <v>228</v>
      </c>
      <c r="F39" s="10">
        <v>335927.59603200003</v>
      </c>
      <c r="G39" s="10">
        <v>784</v>
      </c>
      <c r="H39" s="11">
        <v>540</v>
      </c>
      <c r="I39" s="3"/>
    </row>
    <row r="40" spans="1:9" s="4" customFormat="1" x14ac:dyDescent="0.5">
      <c r="A40" s="8">
        <v>2024</v>
      </c>
      <c r="B40" s="9" t="s">
        <v>21</v>
      </c>
      <c r="C40" s="9" t="s">
        <v>8</v>
      </c>
      <c r="D40" s="9" t="s">
        <v>66</v>
      </c>
      <c r="E40" s="9" t="s">
        <v>236</v>
      </c>
      <c r="F40" s="10">
        <v>344920.29465600004</v>
      </c>
      <c r="G40" s="10">
        <v>784</v>
      </c>
      <c r="H40" s="11">
        <v>540</v>
      </c>
      <c r="I40" s="3"/>
    </row>
    <row r="41" spans="1:9" s="4" customFormat="1" x14ac:dyDescent="0.5">
      <c r="A41" s="8">
        <v>2024</v>
      </c>
      <c r="B41" s="9" t="s">
        <v>19</v>
      </c>
      <c r="C41" s="9" t="s">
        <v>8</v>
      </c>
      <c r="D41" s="9" t="s">
        <v>67</v>
      </c>
      <c r="E41" s="9" t="s">
        <v>229</v>
      </c>
      <c r="F41" s="10">
        <v>345122.34623999998</v>
      </c>
      <c r="G41" s="10">
        <v>577</v>
      </c>
      <c r="H41" s="11">
        <v>175</v>
      </c>
      <c r="I41" s="3"/>
    </row>
    <row r="42" spans="1:9" s="4" customFormat="1" x14ac:dyDescent="0.5">
      <c r="A42" s="8">
        <v>2024</v>
      </c>
      <c r="B42" s="9" t="s">
        <v>24</v>
      </c>
      <c r="C42" s="9" t="s">
        <v>8</v>
      </c>
      <c r="D42" s="9" t="s">
        <v>68</v>
      </c>
      <c r="E42" s="9" t="s">
        <v>228</v>
      </c>
      <c r="F42" s="10">
        <v>345515.22432000004</v>
      </c>
      <c r="G42" s="10">
        <v>610</v>
      </c>
      <c r="H42" s="11">
        <v>970</v>
      </c>
      <c r="I42" s="3"/>
    </row>
    <row r="43" spans="1:9" s="4" customFormat="1" x14ac:dyDescent="0.5">
      <c r="A43" s="8">
        <v>2024</v>
      </c>
      <c r="B43" s="9" t="s">
        <v>21</v>
      </c>
      <c r="C43" s="9" t="s">
        <v>8</v>
      </c>
      <c r="D43" s="9" t="s">
        <v>69</v>
      </c>
      <c r="E43" s="9" t="s">
        <v>232</v>
      </c>
      <c r="F43" s="10">
        <v>353740.40755200008</v>
      </c>
      <c r="G43" s="10">
        <v>413</v>
      </c>
      <c r="H43" s="11">
        <v>930</v>
      </c>
      <c r="I43" s="3"/>
    </row>
    <row r="44" spans="1:9" s="4" customFormat="1" x14ac:dyDescent="0.5">
      <c r="A44" s="8">
        <v>2024</v>
      </c>
      <c r="B44" s="9" t="s">
        <v>26</v>
      </c>
      <c r="C44" s="9" t="s">
        <v>8</v>
      </c>
      <c r="D44" s="9" t="s">
        <v>70</v>
      </c>
      <c r="E44" s="9" t="s">
        <v>230</v>
      </c>
      <c r="F44" s="10">
        <v>369869.45587200002</v>
      </c>
      <c r="G44" s="10">
        <v>312</v>
      </c>
      <c r="H44" s="11">
        <v>983</v>
      </c>
      <c r="I44" s="3"/>
    </row>
    <row r="45" spans="1:9" s="4" customFormat="1" x14ac:dyDescent="0.5">
      <c r="A45" s="8">
        <v>2024</v>
      </c>
      <c r="B45" s="9" t="s">
        <v>21</v>
      </c>
      <c r="C45" s="9" t="s">
        <v>8</v>
      </c>
      <c r="D45" s="9" t="s">
        <v>71</v>
      </c>
      <c r="E45" s="9" t="s">
        <v>234</v>
      </c>
      <c r="F45" s="10">
        <v>381630.54182400007</v>
      </c>
      <c r="G45" s="10">
        <v>287</v>
      </c>
      <c r="H45" s="11">
        <v>744</v>
      </c>
      <c r="I45" s="3"/>
    </row>
    <row r="46" spans="1:9" s="4" customFormat="1" x14ac:dyDescent="0.5">
      <c r="A46" s="8">
        <v>2024</v>
      </c>
      <c r="B46" s="9" t="s">
        <v>23</v>
      </c>
      <c r="C46" s="9" t="s">
        <v>8</v>
      </c>
      <c r="D46" s="9" t="s">
        <v>72</v>
      </c>
      <c r="E46" s="9" t="s">
        <v>229</v>
      </c>
      <c r="F46" s="10">
        <v>384175.83052800002</v>
      </c>
      <c r="G46" s="10">
        <v>413</v>
      </c>
      <c r="H46" s="11">
        <v>930</v>
      </c>
      <c r="I46" s="3"/>
    </row>
    <row r="47" spans="1:9" s="4" customFormat="1" x14ac:dyDescent="0.5">
      <c r="A47" s="8">
        <v>2024</v>
      </c>
      <c r="B47" s="9" t="s">
        <v>27</v>
      </c>
      <c r="C47" s="9" t="s">
        <v>8</v>
      </c>
      <c r="D47" s="9" t="s">
        <v>73</v>
      </c>
      <c r="E47" s="9" t="s">
        <v>229</v>
      </c>
      <c r="F47" s="10">
        <v>384175.83052800002</v>
      </c>
      <c r="G47" s="10">
        <v>413</v>
      </c>
      <c r="H47" s="11">
        <v>930</v>
      </c>
      <c r="I47" s="3"/>
    </row>
    <row r="48" spans="1:9" s="4" customFormat="1" x14ac:dyDescent="0.5">
      <c r="A48" s="8">
        <v>2024</v>
      </c>
      <c r="B48" s="9" t="s">
        <v>20</v>
      </c>
      <c r="C48" s="9" t="s">
        <v>8</v>
      </c>
      <c r="D48" s="9" t="s">
        <v>74</v>
      </c>
      <c r="E48" s="9" t="s">
        <v>233</v>
      </c>
      <c r="F48" s="10">
        <v>400913.83987199998</v>
      </c>
      <c r="G48" s="10">
        <v>872</v>
      </c>
      <c r="H48" s="11">
        <v>249</v>
      </c>
      <c r="I48" s="3"/>
    </row>
    <row r="49" spans="1:9" s="4" customFormat="1" x14ac:dyDescent="0.5">
      <c r="A49" s="8">
        <v>2024</v>
      </c>
      <c r="B49" s="9" t="s">
        <v>27</v>
      </c>
      <c r="C49" s="9" t="s">
        <v>8</v>
      </c>
      <c r="D49" s="9" t="s">
        <v>75</v>
      </c>
      <c r="E49" s="9" t="s">
        <v>228</v>
      </c>
      <c r="F49" s="10">
        <v>427036.02278400009</v>
      </c>
      <c r="G49" s="10">
        <v>413</v>
      </c>
      <c r="H49" s="11">
        <v>930</v>
      </c>
      <c r="I49" s="3"/>
    </row>
    <row r="50" spans="1:9" s="4" customFormat="1" x14ac:dyDescent="0.5">
      <c r="A50" s="8">
        <v>2024</v>
      </c>
      <c r="B50" s="9" t="s">
        <v>25</v>
      </c>
      <c r="C50" s="9" t="s">
        <v>8</v>
      </c>
      <c r="D50" s="9" t="s">
        <v>76</v>
      </c>
      <c r="E50" s="9" t="s">
        <v>234</v>
      </c>
      <c r="F50" s="10">
        <v>430367.06764799997</v>
      </c>
      <c r="G50" s="10">
        <v>784</v>
      </c>
      <c r="H50" s="11">
        <v>540</v>
      </c>
      <c r="I50" s="3"/>
    </row>
    <row r="51" spans="1:9" s="4" customFormat="1" x14ac:dyDescent="0.5">
      <c r="A51" s="8">
        <v>2024</v>
      </c>
      <c r="B51" s="9" t="s">
        <v>19</v>
      </c>
      <c r="C51" s="9" t="s">
        <v>8</v>
      </c>
      <c r="D51" s="9" t="s">
        <v>77</v>
      </c>
      <c r="E51" s="9" t="s">
        <v>236</v>
      </c>
      <c r="F51" s="10">
        <v>437610.05567999993</v>
      </c>
      <c r="G51" s="10">
        <v>413</v>
      </c>
      <c r="H51" s="11">
        <v>930</v>
      </c>
      <c r="I51" s="3"/>
    </row>
    <row r="52" spans="1:9" s="4" customFormat="1" x14ac:dyDescent="0.5">
      <c r="A52" s="8">
        <v>2024</v>
      </c>
      <c r="B52" s="9" t="s">
        <v>21</v>
      </c>
      <c r="C52" s="9" t="s">
        <v>8</v>
      </c>
      <c r="D52" s="9" t="s">
        <v>78</v>
      </c>
      <c r="E52" s="9" t="s">
        <v>231</v>
      </c>
      <c r="F52" s="10">
        <v>441520.59571199998</v>
      </c>
      <c r="G52" s="10">
        <v>795</v>
      </c>
      <c r="H52" s="11">
        <v>469</v>
      </c>
      <c r="I52" s="3"/>
    </row>
    <row r="53" spans="1:9" s="4" customFormat="1" x14ac:dyDescent="0.5">
      <c r="A53" s="8">
        <v>2024</v>
      </c>
      <c r="B53" s="9" t="s">
        <v>21</v>
      </c>
      <c r="C53" s="9" t="s">
        <v>8</v>
      </c>
      <c r="D53" s="9" t="s">
        <v>79</v>
      </c>
      <c r="E53" s="9" t="s">
        <v>232</v>
      </c>
      <c r="F53" s="10">
        <v>447134.54284799995</v>
      </c>
      <c r="G53" s="10">
        <v>597</v>
      </c>
      <c r="H53" s="11">
        <v>287</v>
      </c>
      <c r="I53" s="3"/>
    </row>
    <row r="54" spans="1:9" s="4" customFormat="1" x14ac:dyDescent="0.5">
      <c r="A54" s="8">
        <v>2024</v>
      </c>
      <c r="B54" s="9" t="s">
        <v>19</v>
      </c>
      <c r="C54" s="9" t="s">
        <v>8</v>
      </c>
      <c r="D54" s="9" t="s">
        <v>80</v>
      </c>
      <c r="E54" s="9" t="s">
        <v>232</v>
      </c>
      <c r="F54" s="10">
        <v>459099.08352000004</v>
      </c>
      <c r="G54" s="10">
        <v>968</v>
      </c>
      <c r="H54" s="11">
        <v>330</v>
      </c>
      <c r="I54" s="3"/>
    </row>
    <row r="55" spans="1:9" s="4" customFormat="1" x14ac:dyDescent="0.5">
      <c r="A55" s="8">
        <v>2024</v>
      </c>
      <c r="B55" s="9" t="s">
        <v>21</v>
      </c>
      <c r="C55" s="9" t="s">
        <v>8</v>
      </c>
      <c r="D55" s="9" t="s">
        <v>81</v>
      </c>
      <c r="E55" s="9" t="s">
        <v>228</v>
      </c>
      <c r="F55" s="10">
        <v>460690.23974400002</v>
      </c>
      <c r="G55" s="10">
        <v>930</v>
      </c>
      <c r="H55" s="11">
        <v>563</v>
      </c>
      <c r="I55" s="3"/>
    </row>
    <row r="56" spans="1:9" s="4" customFormat="1" x14ac:dyDescent="0.5">
      <c r="A56" s="8">
        <v>2024</v>
      </c>
      <c r="B56" s="9" t="s">
        <v>18</v>
      </c>
      <c r="C56" s="9" t="s">
        <v>8</v>
      </c>
      <c r="D56" s="9" t="s">
        <v>82</v>
      </c>
      <c r="E56" s="9" t="s">
        <v>231</v>
      </c>
      <c r="F56" s="10">
        <v>465025.92998400005</v>
      </c>
      <c r="G56" s="10">
        <v>692</v>
      </c>
      <c r="H56" s="11">
        <v>300</v>
      </c>
      <c r="I56" s="3"/>
    </row>
    <row r="57" spans="1:9" s="4" customFormat="1" x14ac:dyDescent="0.5">
      <c r="A57" s="8">
        <v>2024</v>
      </c>
      <c r="B57" s="9" t="s">
        <v>18</v>
      </c>
      <c r="C57" s="9" t="s">
        <v>8</v>
      </c>
      <c r="D57" s="9" t="s">
        <v>83</v>
      </c>
      <c r="E57" s="9" t="s">
        <v>236</v>
      </c>
      <c r="F57" s="10">
        <v>465195.70944000001</v>
      </c>
      <c r="G57" s="10">
        <v>872</v>
      </c>
      <c r="H57" s="11">
        <v>249</v>
      </c>
      <c r="I57" s="3"/>
    </row>
    <row r="58" spans="1:9" s="4" customFormat="1" x14ac:dyDescent="0.5">
      <c r="A58" s="8">
        <v>2024</v>
      </c>
      <c r="B58" s="9" t="s">
        <v>25</v>
      </c>
      <c r="C58" s="9" t="s">
        <v>8</v>
      </c>
      <c r="D58" s="9" t="s">
        <v>84</v>
      </c>
      <c r="E58" s="9" t="s">
        <v>232</v>
      </c>
      <c r="F58" s="10">
        <v>486983.60524799995</v>
      </c>
      <c r="G58" s="10">
        <v>839</v>
      </c>
      <c r="H58" s="11">
        <v>983</v>
      </c>
      <c r="I58" s="3"/>
    </row>
    <row r="59" spans="1:9" s="4" customFormat="1" x14ac:dyDescent="0.5">
      <c r="A59" s="8">
        <v>2024</v>
      </c>
      <c r="B59" s="9" t="s">
        <v>26</v>
      </c>
      <c r="C59" s="9" t="s">
        <v>8</v>
      </c>
      <c r="D59" s="9" t="s">
        <v>85</v>
      </c>
      <c r="E59" s="9" t="s">
        <v>231</v>
      </c>
      <c r="F59" s="10">
        <v>488832.93849600002</v>
      </c>
      <c r="G59" s="10">
        <v>287</v>
      </c>
      <c r="H59" s="11">
        <v>744</v>
      </c>
      <c r="I59" s="3"/>
    </row>
    <row r="60" spans="1:9" s="4" customFormat="1" x14ac:dyDescent="0.5">
      <c r="A60" s="8">
        <v>2024</v>
      </c>
      <c r="B60" s="9" t="s">
        <v>19</v>
      </c>
      <c r="C60" s="9" t="s">
        <v>8</v>
      </c>
      <c r="D60" s="9" t="s">
        <v>86</v>
      </c>
      <c r="E60" s="9" t="s">
        <v>235</v>
      </c>
      <c r="F60" s="10">
        <v>495771.446016</v>
      </c>
      <c r="G60" s="10">
        <v>930</v>
      </c>
      <c r="H60" s="11">
        <v>563</v>
      </c>
      <c r="I60" s="3"/>
    </row>
    <row r="61" spans="1:9" s="4" customFormat="1" x14ac:dyDescent="0.5">
      <c r="A61" s="8">
        <v>2024</v>
      </c>
      <c r="B61" s="9" t="s">
        <v>22</v>
      </c>
      <c r="C61" s="9" t="s">
        <v>8</v>
      </c>
      <c r="D61" s="9" t="s">
        <v>87</v>
      </c>
      <c r="E61" s="9" t="s">
        <v>233</v>
      </c>
      <c r="F61" s="10">
        <v>496606.31193600001</v>
      </c>
      <c r="G61" s="10">
        <v>210</v>
      </c>
      <c r="H61" s="11">
        <v>177</v>
      </c>
      <c r="I61" s="3"/>
    </row>
    <row r="62" spans="1:9" s="4" customFormat="1" x14ac:dyDescent="0.5">
      <c r="A62" s="8">
        <v>2024</v>
      </c>
      <c r="B62" s="9" t="s">
        <v>25</v>
      </c>
      <c r="C62" s="9" t="s">
        <v>8</v>
      </c>
      <c r="D62" s="9" t="s">
        <v>88</v>
      </c>
      <c r="E62" s="9" t="s">
        <v>228</v>
      </c>
      <c r="F62" s="10">
        <v>496606.31193600001</v>
      </c>
      <c r="G62" s="10">
        <v>577</v>
      </c>
      <c r="H62" s="11">
        <v>175</v>
      </c>
      <c r="I62" s="3"/>
    </row>
    <row r="63" spans="1:9" s="4" customFormat="1" x14ac:dyDescent="0.5">
      <c r="A63" s="8">
        <v>2024</v>
      </c>
      <c r="B63" s="9" t="s">
        <v>20</v>
      </c>
      <c r="C63" s="9" t="s">
        <v>8</v>
      </c>
      <c r="D63" s="9" t="s">
        <v>89</v>
      </c>
      <c r="E63" s="9" t="s">
        <v>231</v>
      </c>
      <c r="F63" s="10">
        <v>508120.44595199998</v>
      </c>
      <c r="G63" s="10">
        <v>839</v>
      </c>
      <c r="H63" s="11">
        <v>334</v>
      </c>
      <c r="I63" s="3"/>
    </row>
    <row r="64" spans="1:9" s="4" customFormat="1" x14ac:dyDescent="0.5">
      <c r="A64" s="8">
        <v>2024</v>
      </c>
      <c r="B64" s="9" t="s">
        <v>24</v>
      </c>
      <c r="C64" s="9" t="s">
        <v>8</v>
      </c>
      <c r="D64" s="9" t="s">
        <v>90</v>
      </c>
      <c r="E64" s="9" t="s">
        <v>234</v>
      </c>
      <c r="F64" s="10">
        <v>523110.14783999999</v>
      </c>
      <c r="G64" s="10">
        <v>403</v>
      </c>
      <c r="H64" s="11">
        <v>953</v>
      </c>
      <c r="I64" s="3"/>
    </row>
    <row r="65" spans="1:9" s="4" customFormat="1" x14ac:dyDescent="0.5">
      <c r="A65" s="8">
        <v>2024</v>
      </c>
      <c r="B65" s="9" t="s">
        <v>24</v>
      </c>
      <c r="C65" s="9" t="s">
        <v>8</v>
      </c>
      <c r="D65" s="9" t="s">
        <v>91</v>
      </c>
      <c r="E65" s="9" t="s">
        <v>232</v>
      </c>
      <c r="F65" s="10">
        <v>528318.58867199998</v>
      </c>
      <c r="G65" s="10">
        <v>968</v>
      </c>
      <c r="H65" s="11">
        <v>330</v>
      </c>
      <c r="I65" s="3"/>
    </row>
    <row r="66" spans="1:9" s="4" customFormat="1" x14ac:dyDescent="0.5">
      <c r="A66" s="8">
        <v>2024</v>
      </c>
      <c r="B66" s="9" t="s">
        <v>19</v>
      </c>
      <c r="C66" s="9" t="s">
        <v>8</v>
      </c>
      <c r="D66" s="9" t="s">
        <v>92</v>
      </c>
      <c r="E66" s="9" t="s">
        <v>233</v>
      </c>
      <c r="F66" s="10">
        <v>538040.91801599995</v>
      </c>
      <c r="G66" s="10">
        <v>287</v>
      </c>
      <c r="H66" s="11">
        <v>744</v>
      </c>
      <c r="I66" s="3"/>
    </row>
    <row r="67" spans="1:9" s="4" customFormat="1" x14ac:dyDescent="0.5">
      <c r="A67" s="8">
        <v>2024</v>
      </c>
      <c r="B67" s="9" t="s">
        <v>19</v>
      </c>
      <c r="C67" s="9" t="s">
        <v>8</v>
      </c>
      <c r="D67" s="9" t="s">
        <v>93</v>
      </c>
      <c r="E67" s="9" t="s">
        <v>232</v>
      </c>
      <c r="F67" s="10">
        <v>548578.46937599999</v>
      </c>
      <c r="G67" s="10">
        <v>210</v>
      </c>
      <c r="H67" s="11">
        <v>177</v>
      </c>
      <c r="I67" s="3"/>
    </row>
    <row r="68" spans="1:9" s="4" customFormat="1" x14ac:dyDescent="0.5">
      <c r="A68" s="8">
        <v>2024</v>
      </c>
      <c r="B68" s="9" t="s">
        <v>18</v>
      </c>
      <c r="C68" s="9" t="s">
        <v>8</v>
      </c>
      <c r="D68" s="9" t="s">
        <v>94</v>
      </c>
      <c r="E68" s="9" t="s">
        <v>236</v>
      </c>
      <c r="F68" s="10">
        <v>550469.89670399996</v>
      </c>
      <c r="G68" s="10">
        <v>839</v>
      </c>
      <c r="H68" s="11">
        <v>983</v>
      </c>
      <c r="I68" s="3"/>
    </row>
    <row r="69" spans="1:9" s="4" customFormat="1" x14ac:dyDescent="0.5">
      <c r="A69" s="8">
        <v>2024</v>
      </c>
      <c r="B69" s="9" t="s">
        <v>25</v>
      </c>
      <c r="C69" s="9" t="s">
        <v>8</v>
      </c>
      <c r="D69" s="9" t="s">
        <v>95</v>
      </c>
      <c r="E69" s="9" t="s">
        <v>231</v>
      </c>
      <c r="F69" s="10">
        <v>556027.71840000001</v>
      </c>
      <c r="G69" s="10">
        <v>839</v>
      </c>
      <c r="H69" s="11">
        <v>334</v>
      </c>
      <c r="I69" s="3"/>
    </row>
    <row r="70" spans="1:9" s="4" customFormat="1" x14ac:dyDescent="0.5">
      <c r="A70" s="8">
        <v>2024</v>
      </c>
      <c r="B70" s="9" t="s">
        <v>23</v>
      </c>
      <c r="C70" s="9" t="s">
        <v>8</v>
      </c>
      <c r="D70" s="9" t="s">
        <v>96</v>
      </c>
      <c r="E70" s="9" t="s">
        <v>228</v>
      </c>
      <c r="F70" s="10">
        <v>572911.65388800006</v>
      </c>
      <c r="G70" s="10">
        <v>403</v>
      </c>
      <c r="H70" s="11">
        <v>953</v>
      </c>
      <c r="I70" s="3"/>
    </row>
    <row r="71" spans="1:9" s="4" customFormat="1" x14ac:dyDescent="0.5">
      <c r="A71" s="8">
        <v>2024</v>
      </c>
      <c r="B71" s="9" t="s">
        <v>24</v>
      </c>
      <c r="C71" s="9" t="s">
        <v>8</v>
      </c>
      <c r="D71" s="9" t="s">
        <v>97</v>
      </c>
      <c r="E71" s="9" t="s">
        <v>235</v>
      </c>
      <c r="F71" s="10">
        <v>577713.18527999998</v>
      </c>
      <c r="G71" s="10">
        <v>968</v>
      </c>
      <c r="H71" s="11">
        <v>330</v>
      </c>
      <c r="I71" s="3"/>
    </row>
    <row r="72" spans="1:9" s="4" customFormat="1" x14ac:dyDescent="0.5">
      <c r="A72" s="8">
        <v>2024</v>
      </c>
      <c r="B72" s="9" t="s">
        <v>21</v>
      </c>
      <c r="C72" s="9" t="s">
        <v>8</v>
      </c>
      <c r="D72" s="9" t="s">
        <v>98</v>
      </c>
      <c r="E72" s="9" t="s">
        <v>236</v>
      </c>
      <c r="F72" s="10">
        <v>579979.24992000009</v>
      </c>
      <c r="G72" s="10">
        <v>610</v>
      </c>
      <c r="H72" s="11">
        <v>970</v>
      </c>
      <c r="I72" s="3"/>
    </row>
    <row r="73" spans="1:9" s="4" customFormat="1" x14ac:dyDescent="0.5">
      <c r="A73" s="8">
        <v>2024</v>
      </c>
      <c r="B73" s="9" t="s">
        <v>20</v>
      </c>
      <c r="C73" s="9" t="s">
        <v>8</v>
      </c>
      <c r="D73" s="9" t="s">
        <v>99</v>
      </c>
      <c r="E73" s="9" t="s">
        <v>232</v>
      </c>
      <c r="F73" s="10">
        <v>584211.10809600004</v>
      </c>
      <c r="G73" s="10">
        <v>312</v>
      </c>
      <c r="H73" s="11">
        <v>983</v>
      </c>
      <c r="I73" s="3"/>
    </row>
    <row r="74" spans="1:9" s="4" customFormat="1" x14ac:dyDescent="0.5">
      <c r="A74" s="8">
        <v>2024</v>
      </c>
      <c r="B74" s="9" t="s">
        <v>24</v>
      </c>
      <c r="C74" s="9" t="s">
        <v>8</v>
      </c>
      <c r="D74" s="9" t="s">
        <v>100</v>
      </c>
      <c r="E74" s="9" t="s">
        <v>235</v>
      </c>
      <c r="F74" s="10">
        <v>584991.251712</v>
      </c>
      <c r="G74" s="10">
        <v>577</v>
      </c>
      <c r="H74" s="11">
        <v>175</v>
      </c>
      <c r="I74" s="3"/>
    </row>
    <row r="75" spans="1:9" s="4" customFormat="1" x14ac:dyDescent="0.5">
      <c r="A75" s="8">
        <v>2024</v>
      </c>
      <c r="B75" s="9" t="s">
        <v>23</v>
      </c>
      <c r="C75" s="9" t="s">
        <v>8</v>
      </c>
      <c r="D75" s="9" t="s">
        <v>101</v>
      </c>
      <c r="E75" s="9" t="s">
        <v>233</v>
      </c>
      <c r="F75" s="10">
        <v>585434.64268799999</v>
      </c>
      <c r="G75" s="10">
        <v>610</v>
      </c>
      <c r="H75" s="11">
        <v>970</v>
      </c>
      <c r="I75" s="3"/>
    </row>
    <row r="76" spans="1:9" s="4" customFormat="1" x14ac:dyDescent="0.5">
      <c r="A76" s="8">
        <v>2024</v>
      </c>
      <c r="B76" s="9" t="s">
        <v>21</v>
      </c>
      <c r="C76" s="9" t="s">
        <v>8</v>
      </c>
      <c r="D76" s="9" t="s">
        <v>102</v>
      </c>
      <c r="E76" s="9" t="s">
        <v>235</v>
      </c>
      <c r="F76" s="10">
        <v>590038.33190400002</v>
      </c>
      <c r="G76" s="10">
        <v>413</v>
      </c>
      <c r="H76" s="11">
        <v>930</v>
      </c>
      <c r="I76" s="3"/>
    </row>
    <row r="77" spans="1:9" s="4" customFormat="1" x14ac:dyDescent="0.5">
      <c r="A77" s="8">
        <v>2024</v>
      </c>
      <c r="B77" s="9" t="s">
        <v>25</v>
      </c>
      <c r="C77" s="9" t="s">
        <v>8</v>
      </c>
      <c r="D77" s="9" t="s">
        <v>103</v>
      </c>
      <c r="E77" s="9" t="s">
        <v>234</v>
      </c>
      <c r="F77" s="10">
        <v>592566.78297599999</v>
      </c>
      <c r="G77" s="10">
        <v>692</v>
      </c>
      <c r="H77" s="11">
        <v>300</v>
      </c>
      <c r="I77" s="3"/>
    </row>
    <row r="78" spans="1:9" s="4" customFormat="1" x14ac:dyDescent="0.5">
      <c r="A78" s="8">
        <v>2024</v>
      </c>
      <c r="B78" s="9" t="s">
        <v>21</v>
      </c>
      <c r="C78" s="9" t="s">
        <v>8</v>
      </c>
      <c r="D78" s="9" t="s">
        <v>104</v>
      </c>
      <c r="E78" s="9" t="s">
        <v>234</v>
      </c>
      <c r="F78" s="10">
        <v>597293.94816000003</v>
      </c>
      <c r="G78" s="10">
        <v>692</v>
      </c>
      <c r="H78" s="11">
        <v>300</v>
      </c>
      <c r="I78" s="3"/>
    </row>
    <row r="79" spans="1:9" s="4" customFormat="1" x14ac:dyDescent="0.5">
      <c r="A79" s="8">
        <v>2024</v>
      </c>
      <c r="B79" s="9" t="s">
        <v>21</v>
      </c>
      <c r="C79" s="9" t="s">
        <v>8</v>
      </c>
      <c r="D79" s="9" t="s">
        <v>105</v>
      </c>
      <c r="E79" s="9" t="s">
        <v>233</v>
      </c>
      <c r="F79" s="10">
        <v>601551.06278400007</v>
      </c>
      <c r="G79" s="10">
        <v>872</v>
      </c>
      <c r="H79" s="11">
        <v>249</v>
      </c>
      <c r="I79" s="3"/>
    </row>
    <row r="80" spans="1:9" s="4" customFormat="1" x14ac:dyDescent="0.5">
      <c r="A80" s="8">
        <v>2024</v>
      </c>
      <c r="B80" s="9" t="s">
        <v>20</v>
      </c>
      <c r="C80" s="9" t="s">
        <v>8</v>
      </c>
      <c r="D80" s="9" t="s">
        <v>106</v>
      </c>
      <c r="E80" s="9" t="s">
        <v>232</v>
      </c>
      <c r="F80" s="10">
        <v>604409.25081599993</v>
      </c>
      <c r="G80" s="10">
        <v>568</v>
      </c>
      <c r="H80" s="11">
        <v>505</v>
      </c>
      <c r="I80" s="3"/>
    </row>
    <row r="81" spans="1:9" s="4" customFormat="1" x14ac:dyDescent="0.5">
      <c r="A81" s="8">
        <v>2024</v>
      </c>
      <c r="B81" s="9" t="s">
        <v>27</v>
      </c>
      <c r="C81" s="9" t="s">
        <v>8</v>
      </c>
      <c r="D81" s="9" t="s">
        <v>107</v>
      </c>
      <c r="E81" s="9" t="s">
        <v>231</v>
      </c>
      <c r="F81" s="10">
        <v>604409.25081599993</v>
      </c>
      <c r="G81" s="10">
        <v>692</v>
      </c>
      <c r="H81" s="11">
        <v>300</v>
      </c>
      <c r="I81" s="3"/>
    </row>
    <row r="82" spans="1:9" s="4" customFormat="1" x14ac:dyDescent="0.5">
      <c r="A82" s="8">
        <v>2024</v>
      </c>
      <c r="B82" s="9" t="s">
        <v>20</v>
      </c>
      <c r="C82" s="9" t="s">
        <v>8</v>
      </c>
      <c r="D82" s="9" t="s">
        <v>108</v>
      </c>
      <c r="E82" s="9" t="s">
        <v>236</v>
      </c>
      <c r="F82" s="10">
        <v>605954.1035519999</v>
      </c>
      <c r="G82" s="10">
        <v>930</v>
      </c>
      <c r="H82" s="11">
        <v>563</v>
      </c>
      <c r="I82" s="3"/>
    </row>
    <row r="83" spans="1:9" s="4" customFormat="1" x14ac:dyDescent="0.5">
      <c r="A83" s="8">
        <v>2024</v>
      </c>
      <c r="B83" s="9" t="s">
        <v>24</v>
      </c>
      <c r="C83" s="9" t="s">
        <v>8</v>
      </c>
      <c r="D83" s="9" t="s">
        <v>109</v>
      </c>
      <c r="E83" s="9" t="s">
        <v>231</v>
      </c>
      <c r="F83" s="10">
        <v>611409.49632000003</v>
      </c>
      <c r="G83" s="10">
        <v>210</v>
      </c>
      <c r="H83" s="11">
        <v>177</v>
      </c>
      <c r="I83" s="3"/>
    </row>
    <row r="84" spans="1:9" s="4" customFormat="1" x14ac:dyDescent="0.5">
      <c r="A84" s="8">
        <v>2024</v>
      </c>
      <c r="B84" s="9" t="s">
        <v>19</v>
      </c>
      <c r="C84" s="9" t="s">
        <v>8</v>
      </c>
      <c r="D84" s="9" t="s">
        <v>110</v>
      </c>
      <c r="E84" s="9" t="s">
        <v>231</v>
      </c>
      <c r="F84" s="10">
        <v>615400.01510399999</v>
      </c>
      <c r="G84" s="10">
        <v>577</v>
      </c>
      <c r="H84" s="11">
        <v>175</v>
      </c>
      <c r="I84" s="3"/>
    </row>
    <row r="85" spans="1:9" s="4" customFormat="1" x14ac:dyDescent="0.5">
      <c r="A85" s="8">
        <v>2024</v>
      </c>
      <c r="B85" s="9" t="s">
        <v>20</v>
      </c>
      <c r="C85" s="9" t="s">
        <v>8</v>
      </c>
      <c r="D85" s="9" t="s">
        <v>111</v>
      </c>
      <c r="E85" s="9" t="s">
        <v>228</v>
      </c>
      <c r="F85" s="10">
        <v>640649.44742400013</v>
      </c>
      <c r="G85" s="10">
        <v>210</v>
      </c>
      <c r="H85" s="11">
        <v>177</v>
      </c>
      <c r="I85" s="3"/>
    </row>
    <row r="86" spans="1:9" s="4" customFormat="1" x14ac:dyDescent="0.5">
      <c r="A86" s="8">
        <v>2024</v>
      </c>
      <c r="B86" s="9" t="s">
        <v>20</v>
      </c>
      <c r="C86" s="9" t="s">
        <v>8</v>
      </c>
      <c r="D86" s="9" t="s">
        <v>112</v>
      </c>
      <c r="E86" s="9" t="s">
        <v>231</v>
      </c>
      <c r="F86" s="10">
        <v>643429.05983999989</v>
      </c>
      <c r="G86" s="10">
        <v>930</v>
      </c>
      <c r="H86" s="11">
        <v>563</v>
      </c>
      <c r="I86" s="3"/>
    </row>
    <row r="87" spans="1:9" s="4" customFormat="1" x14ac:dyDescent="0.5">
      <c r="A87" s="8">
        <v>2024</v>
      </c>
      <c r="B87" s="9" t="s">
        <v>19</v>
      </c>
      <c r="C87" s="9" t="s">
        <v>8</v>
      </c>
      <c r="D87" s="9" t="s">
        <v>113</v>
      </c>
      <c r="E87" s="9" t="s">
        <v>231</v>
      </c>
      <c r="F87" s="10">
        <v>643582.00166399998</v>
      </c>
      <c r="G87" s="10">
        <v>692</v>
      </c>
      <c r="H87" s="11">
        <v>300</v>
      </c>
      <c r="I87" s="3"/>
    </row>
    <row r="88" spans="1:9" s="4" customFormat="1" x14ac:dyDescent="0.5">
      <c r="A88" s="8">
        <v>2024</v>
      </c>
      <c r="B88" s="9" t="s">
        <v>18</v>
      </c>
      <c r="C88" s="9" t="s">
        <v>8</v>
      </c>
      <c r="D88" s="9" t="s">
        <v>114</v>
      </c>
      <c r="E88" s="9" t="s">
        <v>228</v>
      </c>
      <c r="F88" s="10">
        <v>643582.00166399998</v>
      </c>
      <c r="G88" s="10">
        <v>403</v>
      </c>
      <c r="H88" s="11">
        <v>953</v>
      </c>
      <c r="I88" s="3"/>
    </row>
    <row r="89" spans="1:9" s="4" customFormat="1" x14ac:dyDescent="0.5">
      <c r="A89" s="8">
        <v>2024</v>
      </c>
      <c r="B89" s="9" t="s">
        <v>19</v>
      </c>
      <c r="C89" s="9" t="s">
        <v>8</v>
      </c>
      <c r="D89" s="9" t="s">
        <v>115</v>
      </c>
      <c r="E89" s="9" t="s">
        <v>234</v>
      </c>
      <c r="F89" s="10">
        <v>653669.14636799996</v>
      </c>
      <c r="G89" s="10">
        <v>413</v>
      </c>
      <c r="H89" s="11">
        <v>930</v>
      </c>
      <c r="I89" s="3"/>
    </row>
    <row r="90" spans="1:9" s="4" customFormat="1" x14ac:dyDescent="0.5">
      <c r="A90" s="8">
        <v>2024</v>
      </c>
      <c r="B90" s="9" t="s">
        <v>27</v>
      </c>
      <c r="C90" s="9" t="s">
        <v>8</v>
      </c>
      <c r="D90" s="9" t="s">
        <v>116</v>
      </c>
      <c r="E90" s="9" t="s">
        <v>228</v>
      </c>
      <c r="F90" s="10">
        <v>654609.24748800008</v>
      </c>
      <c r="G90" s="10">
        <v>403</v>
      </c>
      <c r="H90" s="11">
        <v>953</v>
      </c>
      <c r="I90" s="3"/>
    </row>
    <row r="91" spans="1:9" s="4" customFormat="1" x14ac:dyDescent="0.5">
      <c r="A91" s="8">
        <v>2024</v>
      </c>
      <c r="B91" s="9" t="s">
        <v>24</v>
      </c>
      <c r="C91" s="9" t="s">
        <v>8</v>
      </c>
      <c r="D91" s="9" t="s">
        <v>117</v>
      </c>
      <c r="E91" s="9" t="s">
        <v>230</v>
      </c>
      <c r="F91" s="10">
        <v>657531.97977600014</v>
      </c>
      <c r="G91" s="10">
        <v>568</v>
      </c>
      <c r="H91" s="11">
        <v>505</v>
      </c>
      <c r="I91" s="3"/>
    </row>
    <row r="92" spans="1:9" s="4" customFormat="1" x14ac:dyDescent="0.5">
      <c r="A92" s="8">
        <v>2024</v>
      </c>
      <c r="B92" s="9" t="s">
        <v>26</v>
      </c>
      <c r="C92" s="9" t="s">
        <v>8</v>
      </c>
      <c r="D92" s="9" t="s">
        <v>118</v>
      </c>
      <c r="E92" s="9" t="s">
        <v>234</v>
      </c>
      <c r="F92" s="10">
        <v>657644.23065599997</v>
      </c>
      <c r="G92" s="10">
        <v>413</v>
      </c>
      <c r="H92" s="11">
        <v>930</v>
      </c>
      <c r="I92" s="3"/>
    </row>
    <row r="93" spans="1:9" s="4" customFormat="1" x14ac:dyDescent="0.5">
      <c r="A93" s="8">
        <v>2024</v>
      </c>
      <c r="B93" s="9" t="s">
        <v>27</v>
      </c>
      <c r="C93" s="9" t="s">
        <v>8</v>
      </c>
      <c r="D93" s="9" t="s">
        <v>119</v>
      </c>
      <c r="E93" s="9" t="s">
        <v>231</v>
      </c>
      <c r="F93" s="10">
        <v>659967.82387199998</v>
      </c>
      <c r="G93" s="10">
        <v>839</v>
      </c>
      <c r="H93" s="11">
        <v>334</v>
      </c>
      <c r="I93" s="3"/>
    </row>
    <row r="94" spans="1:9" s="4" customFormat="1" x14ac:dyDescent="0.5">
      <c r="A94" s="8">
        <v>2024</v>
      </c>
      <c r="B94" s="9" t="s">
        <v>25</v>
      </c>
      <c r="C94" s="9" t="s">
        <v>8</v>
      </c>
      <c r="D94" s="9" t="s">
        <v>120</v>
      </c>
      <c r="E94" s="9" t="s">
        <v>232</v>
      </c>
      <c r="F94" s="10">
        <v>662396.65228799998</v>
      </c>
      <c r="G94" s="10">
        <v>93</v>
      </c>
      <c r="H94" s="11">
        <v>852</v>
      </c>
      <c r="I94" s="3"/>
    </row>
    <row r="95" spans="1:9" s="4" customFormat="1" x14ac:dyDescent="0.5">
      <c r="A95" s="8">
        <v>2024</v>
      </c>
      <c r="B95" s="9" t="s">
        <v>21</v>
      </c>
      <c r="C95" s="9" t="s">
        <v>8</v>
      </c>
      <c r="D95" s="9" t="s">
        <v>121</v>
      </c>
      <c r="E95" s="9" t="s">
        <v>236</v>
      </c>
      <c r="F95" s="10">
        <v>675998.652672</v>
      </c>
      <c r="G95" s="10">
        <v>168</v>
      </c>
      <c r="H95" s="11">
        <v>97</v>
      </c>
      <c r="I95" s="3"/>
    </row>
    <row r="96" spans="1:9" s="4" customFormat="1" x14ac:dyDescent="0.5">
      <c r="A96" s="8">
        <v>2024</v>
      </c>
      <c r="B96" s="9" t="s">
        <v>21</v>
      </c>
      <c r="C96" s="9" t="s">
        <v>8</v>
      </c>
      <c r="D96" s="9" t="s">
        <v>122</v>
      </c>
      <c r="E96" s="9" t="s">
        <v>235</v>
      </c>
      <c r="F96" s="10">
        <v>691680.10060800007</v>
      </c>
      <c r="G96" s="10">
        <v>930</v>
      </c>
      <c r="H96" s="11">
        <v>563</v>
      </c>
      <c r="I96" s="3"/>
    </row>
    <row r="97" spans="1:9" s="4" customFormat="1" x14ac:dyDescent="0.5">
      <c r="A97" s="8">
        <v>2024</v>
      </c>
      <c r="B97" s="9" t="s">
        <v>25</v>
      </c>
      <c r="C97" s="9" t="s">
        <v>8</v>
      </c>
      <c r="D97" s="9" t="s">
        <v>123</v>
      </c>
      <c r="E97" s="9" t="s">
        <v>236</v>
      </c>
      <c r="F97" s="10">
        <v>693425.601792</v>
      </c>
      <c r="G97" s="10">
        <v>597</v>
      </c>
      <c r="H97" s="11">
        <v>287</v>
      </c>
      <c r="I97" s="3"/>
    </row>
    <row r="98" spans="1:9" s="4" customFormat="1" x14ac:dyDescent="0.5">
      <c r="A98" s="8">
        <v>2024</v>
      </c>
      <c r="B98" s="9" t="s">
        <v>27</v>
      </c>
      <c r="C98" s="9" t="s">
        <v>8</v>
      </c>
      <c r="D98" s="9" t="s">
        <v>124</v>
      </c>
      <c r="E98" s="9" t="s">
        <v>234</v>
      </c>
      <c r="F98" s="10">
        <v>701698.49164799997</v>
      </c>
      <c r="G98" s="10">
        <v>784</v>
      </c>
      <c r="H98" s="11">
        <v>540</v>
      </c>
      <c r="I98" s="3"/>
    </row>
    <row r="99" spans="1:9" s="4" customFormat="1" x14ac:dyDescent="0.5">
      <c r="A99" s="8">
        <v>2024</v>
      </c>
      <c r="B99" s="9" t="s">
        <v>23</v>
      </c>
      <c r="C99" s="9" t="s">
        <v>8</v>
      </c>
      <c r="D99" s="9" t="s">
        <v>125</v>
      </c>
      <c r="E99" s="9" t="s">
        <v>235</v>
      </c>
      <c r="F99" s="10">
        <v>705754.95782400004</v>
      </c>
      <c r="G99" s="10">
        <v>568</v>
      </c>
      <c r="H99" s="11">
        <v>505</v>
      </c>
      <c r="I99" s="3"/>
    </row>
    <row r="100" spans="1:9" s="4" customFormat="1" x14ac:dyDescent="0.5">
      <c r="A100" s="8">
        <v>2024</v>
      </c>
      <c r="B100" s="9" t="s">
        <v>24</v>
      </c>
      <c r="C100" s="9" t="s">
        <v>8</v>
      </c>
      <c r="D100" s="9" t="s">
        <v>126</v>
      </c>
      <c r="E100" s="9" t="s">
        <v>230</v>
      </c>
      <c r="F100" s="10">
        <v>709523.78112000006</v>
      </c>
      <c r="G100" s="10">
        <v>795</v>
      </c>
      <c r="H100" s="11">
        <v>469</v>
      </c>
      <c r="I100" s="3"/>
    </row>
    <row r="101" spans="1:9" s="4" customFormat="1" x14ac:dyDescent="0.5">
      <c r="A101" s="8">
        <v>2024</v>
      </c>
      <c r="B101" s="9" t="s">
        <v>21</v>
      </c>
      <c r="C101" s="9" t="s">
        <v>8</v>
      </c>
      <c r="D101" s="9" t="s">
        <v>127</v>
      </c>
      <c r="E101" s="9" t="s">
        <v>232</v>
      </c>
      <c r="F101" s="10">
        <v>710940.94848000002</v>
      </c>
      <c r="G101" s="10">
        <v>610</v>
      </c>
      <c r="H101" s="11">
        <v>970</v>
      </c>
      <c r="I101" s="3"/>
    </row>
    <row r="102" spans="1:9" s="4" customFormat="1" x14ac:dyDescent="0.5">
      <c r="A102" s="8">
        <v>2024</v>
      </c>
      <c r="B102" s="9" t="s">
        <v>23</v>
      </c>
      <c r="C102" s="9" t="s">
        <v>8</v>
      </c>
      <c r="D102" s="9" t="s">
        <v>128</v>
      </c>
      <c r="E102" s="9" t="s">
        <v>232</v>
      </c>
      <c r="F102" s="10">
        <v>724792.70707200002</v>
      </c>
      <c r="G102" s="10">
        <v>610</v>
      </c>
      <c r="H102" s="11">
        <v>970</v>
      </c>
      <c r="I102" s="3"/>
    </row>
    <row r="103" spans="1:9" s="4" customFormat="1" x14ac:dyDescent="0.5">
      <c r="A103" s="8">
        <v>2024</v>
      </c>
      <c r="B103" s="9" t="s">
        <v>18</v>
      </c>
      <c r="C103" s="9" t="s">
        <v>8</v>
      </c>
      <c r="D103" s="9" t="s">
        <v>129</v>
      </c>
      <c r="E103" s="9" t="s">
        <v>229</v>
      </c>
      <c r="F103" s="10">
        <v>728743.9380480001</v>
      </c>
      <c r="G103" s="10">
        <v>930</v>
      </c>
      <c r="H103" s="11">
        <v>563</v>
      </c>
      <c r="I103" s="3"/>
    </row>
    <row r="104" spans="1:9" s="4" customFormat="1" x14ac:dyDescent="0.5">
      <c r="A104" s="8">
        <v>2024</v>
      </c>
      <c r="B104" s="9" t="s">
        <v>24</v>
      </c>
      <c r="C104" s="9" t="s">
        <v>8</v>
      </c>
      <c r="D104" s="9" t="s">
        <v>130</v>
      </c>
      <c r="E104" s="9" t="s">
        <v>229</v>
      </c>
      <c r="F104" s="10">
        <v>733256.42342399992</v>
      </c>
      <c r="G104" s="10">
        <v>839</v>
      </c>
      <c r="H104" s="11">
        <v>983</v>
      </c>
      <c r="I104" s="3"/>
    </row>
    <row r="105" spans="1:9" s="4" customFormat="1" x14ac:dyDescent="0.5">
      <c r="A105" s="8">
        <v>2024</v>
      </c>
      <c r="B105" s="9" t="s">
        <v>19</v>
      </c>
      <c r="C105" s="9" t="s">
        <v>8</v>
      </c>
      <c r="D105" s="9" t="s">
        <v>131</v>
      </c>
      <c r="E105" s="9" t="s">
        <v>231</v>
      </c>
      <c r="F105" s="10">
        <v>735205.37932800001</v>
      </c>
      <c r="G105" s="10">
        <v>839</v>
      </c>
      <c r="H105" s="11">
        <v>334</v>
      </c>
      <c r="I105" s="3"/>
    </row>
    <row r="106" spans="1:9" s="4" customFormat="1" x14ac:dyDescent="0.5">
      <c r="A106" s="8">
        <v>2024</v>
      </c>
      <c r="B106" s="9" t="s">
        <v>23</v>
      </c>
      <c r="C106" s="9" t="s">
        <v>8</v>
      </c>
      <c r="D106" s="9" t="s">
        <v>132</v>
      </c>
      <c r="E106" s="9" t="s">
        <v>234</v>
      </c>
      <c r="F106" s="10">
        <v>735487.40966400004</v>
      </c>
      <c r="G106" s="10">
        <v>93</v>
      </c>
      <c r="H106" s="11">
        <v>852</v>
      </c>
      <c r="I106" s="3"/>
    </row>
    <row r="107" spans="1:9" s="4" customFormat="1" x14ac:dyDescent="0.5">
      <c r="A107" s="8">
        <v>2024</v>
      </c>
      <c r="B107" s="9" t="s">
        <v>25</v>
      </c>
      <c r="C107" s="9" t="s">
        <v>8</v>
      </c>
      <c r="D107" s="9" t="s">
        <v>133</v>
      </c>
      <c r="E107" s="9" t="s">
        <v>229</v>
      </c>
      <c r="F107" s="10">
        <v>762994.48780799995</v>
      </c>
      <c r="G107" s="10">
        <v>839</v>
      </c>
      <c r="H107" s="11">
        <v>983</v>
      </c>
      <c r="I107" s="3"/>
    </row>
    <row r="108" spans="1:9" s="4" customFormat="1" x14ac:dyDescent="0.5">
      <c r="A108" s="8">
        <v>2024</v>
      </c>
      <c r="B108" s="9" t="s">
        <v>21</v>
      </c>
      <c r="C108" s="9" t="s">
        <v>8</v>
      </c>
      <c r="D108" s="9" t="s">
        <v>134</v>
      </c>
      <c r="E108" s="9" t="s">
        <v>230</v>
      </c>
      <c r="F108" s="10">
        <v>767403.14112000004</v>
      </c>
      <c r="G108" s="10">
        <v>312</v>
      </c>
      <c r="H108" s="11">
        <v>983</v>
      </c>
      <c r="I108" s="3"/>
    </row>
    <row r="109" spans="1:9" s="4" customFormat="1" x14ac:dyDescent="0.5">
      <c r="A109" s="8">
        <v>2024</v>
      </c>
      <c r="B109" s="9" t="s">
        <v>21</v>
      </c>
      <c r="C109" s="9" t="s">
        <v>8</v>
      </c>
      <c r="D109" s="9" t="s">
        <v>135</v>
      </c>
      <c r="E109" s="9" t="s">
        <v>232</v>
      </c>
      <c r="F109" s="10">
        <v>767403.14112000004</v>
      </c>
      <c r="G109" s="10">
        <v>568</v>
      </c>
      <c r="H109" s="11">
        <v>505</v>
      </c>
      <c r="I109" s="3"/>
    </row>
    <row r="110" spans="1:9" s="4" customFormat="1" x14ac:dyDescent="0.5">
      <c r="A110" s="8">
        <v>2024</v>
      </c>
      <c r="B110" s="9" t="s">
        <v>21</v>
      </c>
      <c r="C110" s="9" t="s">
        <v>8</v>
      </c>
      <c r="D110" s="9" t="s">
        <v>136</v>
      </c>
      <c r="E110" s="9" t="s">
        <v>232</v>
      </c>
      <c r="F110" s="10">
        <v>782829.21830399986</v>
      </c>
      <c r="G110" s="10">
        <v>968</v>
      </c>
      <c r="H110" s="11">
        <v>330</v>
      </c>
      <c r="I110" s="3"/>
    </row>
    <row r="111" spans="1:9" s="4" customFormat="1" x14ac:dyDescent="0.5">
      <c r="A111" s="8">
        <v>2024</v>
      </c>
      <c r="B111" s="9" t="s">
        <v>23</v>
      </c>
      <c r="C111" s="9" t="s">
        <v>8</v>
      </c>
      <c r="D111" s="9" t="s">
        <v>137</v>
      </c>
      <c r="E111" s="9" t="s">
        <v>236</v>
      </c>
      <c r="F111" s="10">
        <v>796526.63193599996</v>
      </c>
      <c r="G111" s="10">
        <v>968</v>
      </c>
      <c r="H111" s="11">
        <v>330</v>
      </c>
      <c r="I111" s="3"/>
    </row>
    <row r="112" spans="1:9" s="4" customFormat="1" x14ac:dyDescent="0.5">
      <c r="A112" s="8">
        <v>2024</v>
      </c>
      <c r="B112" s="9" t="s">
        <v>21</v>
      </c>
      <c r="C112" s="9" t="s">
        <v>8</v>
      </c>
      <c r="D112" s="9" t="s">
        <v>138</v>
      </c>
      <c r="E112" s="9" t="s">
        <v>231</v>
      </c>
      <c r="F112" s="10">
        <v>805070.32704000012</v>
      </c>
      <c r="G112" s="10">
        <v>839</v>
      </c>
      <c r="H112" s="11">
        <v>334</v>
      </c>
      <c r="I112" s="3"/>
    </row>
    <row r="113" spans="1:9" s="4" customFormat="1" x14ac:dyDescent="0.5">
      <c r="A113" s="8">
        <v>2024</v>
      </c>
      <c r="B113" s="9" t="s">
        <v>18</v>
      </c>
      <c r="C113" s="9" t="s">
        <v>8</v>
      </c>
      <c r="D113" s="9" t="s">
        <v>139</v>
      </c>
      <c r="E113" s="9" t="s">
        <v>235</v>
      </c>
      <c r="F113" s="10">
        <v>819316.36684800009</v>
      </c>
      <c r="G113" s="10">
        <v>839</v>
      </c>
      <c r="H113" s="11">
        <v>983</v>
      </c>
      <c r="I113" s="3"/>
    </row>
    <row r="114" spans="1:9" s="4" customFormat="1" x14ac:dyDescent="0.5">
      <c r="A114" s="8">
        <v>2024</v>
      </c>
      <c r="B114" s="9" t="s">
        <v>23</v>
      </c>
      <c r="C114" s="9" t="s">
        <v>8</v>
      </c>
      <c r="D114" s="9" t="s">
        <v>140</v>
      </c>
      <c r="E114" s="9" t="s">
        <v>235</v>
      </c>
      <c r="F114" s="10">
        <v>820704.06835199997</v>
      </c>
      <c r="G114" s="10">
        <v>168</v>
      </c>
      <c r="H114" s="11">
        <v>97</v>
      </c>
      <c r="I114" s="3"/>
    </row>
    <row r="115" spans="1:9" s="4" customFormat="1" x14ac:dyDescent="0.5">
      <c r="A115" s="8">
        <v>2024</v>
      </c>
      <c r="B115" s="9" t="s">
        <v>18</v>
      </c>
      <c r="C115" s="9" t="s">
        <v>8</v>
      </c>
      <c r="D115" s="9" t="s">
        <v>141</v>
      </c>
      <c r="E115" s="9" t="s">
        <v>229</v>
      </c>
      <c r="F115" s="10">
        <v>824959.77984000009</v>
      </c>
      <c r="G115" s="10">
        <v>795</v>
      </c>
      <c r="H115" s="11">
        <v>469</v>
      </c>
      <c r="I115" s="3"/>
    </row>
    <row r="116" spans="1:9" s="4" customFormat="1" x14ac:dyDescent="0.5">
      <c r="A116" s="8">
        <v>2024</v>
      </c>
      <c r="B116" s="9" t="s">
        <v>27</v>
      </c>
      <c r="C116" s="9" t="s">
        <v>8</v>
      </c>
      <c r="D116" s="9" t="s">
        <v>142</v>
      </c>
      <c r="E116" s="9" t="s">
        <v>232</v>
      </c>
      <c r="F116" s="10">
        <v>827336.692224</v>
      </c>
      <c r="G116" s="10">
        <v>312</v>
      </c>
      <c r="H116" s="11">
        <v>983</v>
      </c>
      <c r="I116" s="3"/>
    </row>
    <row r="117" spans="1:9" s="4" customFormat="1" x14ac:dyDescent="0.5">
      <c r="A117" s="8">
        <v>2024</v>
      </c>
      <c r="B117" s="9" t="s">
        <v>18</v>
      </c>
      <c r="C117" s="9" t="s">
        <v>8</v>
      </c>
      <c r="D117" s="9" t="s">
        <v>143</v>
      </c>
      <c r="E117" s="9" t="s">
        <v>232</v>
      </c>
      <c r="F117" s="10">
        <v>837290.53900800005</v>
      </c>
      <c r="G117" s="10">
        <v>403</v>
      </c>
      <c r="H117" s="11">
        <v>953</v>
      </c>
      <c r="I117" s="3"/>
    </row>
    <row r="118" spans="1:9" s="4" customFormat="1" x14ac:dyDescent="0.5">
      <c r="A118" s="8">
        <v>2024</v>
      </c>
      <c r="B118" s="9" t="s">
        <v>19</v>
      </c>
      <c r="C118" s="9" t="s">
        <v>8</v>
      </c>
      <c r="D118" s="9" t="s">
        <v>144</v>
      </c>
      <c r="E118" s="9" t="s">
        <v>228</v>
      </c>
      <c r="F118" s="10">
        <v>839567.828736</v>
      </c>
      <c r="G118" s="10">
        <v>784</v>
      </c>
      <c r="H118" s="11">
        <v>540</v>
      </c>
      <c r="I118" s="3"/>
    </row>
    <row r="119" spans="1:9" s="4" customFormat="1" x14ac:dyDescent="0.5">
      <c r="A119" s="8">
        <v>2024</v>
      </c>
      <c r="B119" s="9" t="s">
        <v>18</v>
      </c>
      <c r="C119" s="9" t="s">
        <v>8</v>
      </c>
      <c r="D119" s="9" t="s">
        <v>145</v>
      </c>
      <c r="E119" s="9" t="s">
        <v>229</v>
      </c>
      <c r="F119" s="10">
        <v>858720.635136</v>
      </c>
      <c r="G119" s="10">
        <v>968</v>
      </c>
      <c r="H119" s="11">
        <v>330</v>
      </c>
      <c r="I119" s="3"/>
    </row>
    <row r="120" spans="1:9" s="4" customFormat="1" x14ac:dyDescent="0.5">
      <c r="A120" s="8">
        <v>2024</v>
      </c>
      <c r="B120" s="9" t="s">
        <v>19</v>
      </c>
      <c r="C120" s="9" t="s">
        <v>8</v>
      </c>
      <c r="D120" s="9" t="s">
        <v>146</v>
      </c>
      <c r="E120" s="9" t="s">
        <v>230</v>
      </c>
      <c r="F120" s="10">
        <v>859627.06099200004</v>
      </c>
      <c r="G120" s="10">
        <v>568</v>
      </c>
      <c r="H120" s="11">
        <v>505</v>
      </c>
      <c r="I120" s="3"/>
    </row>
    <row r="121" spans="1:9" s="4" customFormat="1" x14ac:dyDescent="0.5">
      <c r="A121" s="8">
        <v>2024</v>
      </c>
      <c r="B121" s="9" t="s">
        <v>22</v>
      </c>
      <c r="C121" s="9" t="s">
        <v>8</v>
      </c>
      <c r="D121" s="9" t="s">
        <v>147</v>
      </c>
      <c r="E121" s="9" t="s">
        <v>229</v>
      </c>
      <c r="F121" s="10">
        <v>867574.42329599988</v>
      </c>
      <c r="G121" s="10">
        <v>413</v>
      </c>
      <c r="H121" s="11">
        <v>930</v>
      </c>
      <c r="I121" s="3"/>
    </row>
    <row r="122" spans="1:9" s="4" customFormat="1" x14ac:dyDescent="0.5">
      <c r="A122" s="8">
        <v>2024</v>
      </c>
      <c r="B122" s="9" t="s">
        <v>20</v>
      </c>
      <c r="C122" s="9" t="s">
        <v>8</v>
      </c>
      <c r="D122" s="9" t="s">
        <v>148</v>
      </c>
      <c r="E122" s="9" t="s">
        <v>236</v>
      </c>
      <c r="F122" s="10">
        <v>867574.42329599988</v>
      </c>
      <c r="G122" s="10">
        <v>930</v>
      </c>
      <c r="H122" s="11">
        <v>563</v>
      </c>
      <c r="I122" s="3"/>
    </row>
    <row r="123" spans="1:9" s="4" customFormat="1" x14ac:dyDescent="0.5">
      <c r="A123" s="8">
        <v>2024</v>
      </c>
      <c r="B123" s="9" t="s">
        <v>21</v>
      </c>
      <c r="C123" s="9" t="s">
        <v>8</v>
      </c>
      <c r="D123" s="9" t="s">
        <v>149</v>
      </c>
      <c r="E123" s="9" t="s">
        <v>235</v>
      </c>
      <c r="F123" s="10">
        <v>873313.24953599996</v>
      </c>
      <c r="G123" s="10">
        <v>839</v>
      </c>
      <c r="H123" s="11">
        <v>334</v>
      </c>
      <c r="I123" s="3"/>
    </row>
    <row r="124" spans="1:9" s="4" customFormat="1" x14ac:dyDescent="0.5">
      <c r="A124" s="8">
        <v>2024</v>
      </c>
      <c r="B124" s="9" t="s">
        <v>21</v>
      </c>
      <c r="C124" s="9" t="s">
        <v>8</v>
      </c>
      <c r="D124" s="9" t="s">
        <v>150</v>
      </c>
      <c r="E124" s="9" t="s">
        <v>230</v>
      </c>
      <c r="F124" s="10">
        <v>878259.30393599998</v>
      </c>
      <c r="G124" s="10">
        <v>403</v>
      </c>
      <c r="H124" s="11">
        <v>953</v>
      </c>
      <c r="I124" s="3"/>
    </row>
    <row r="125" spans="1:9" s="4" customFormat="1" x14ac:dyDescent="0.5">
      <c r="A125" s="8">
        <v>2024</v>
      </c>
      <c r="B125" s="9" t="s">
        <v>20</v>
      </c>
      <c r="C125" s="9" t="s">
        <v>8</v>
      </c>
      <c r="D125" s="9" t="s">
        <v>151</v>
      </c>
      <c r="E125" s="9" t="s">
        <v>236</v>
      </c>
      <c r="F125" s="10">
        <v>884691.27935999993</v>
      </c>
      <c r="G125" s="10">
        <v>210</v>
      </c>
      <c r="H125" s="11">
        <v>177</v>
      </c>
      <c r="I125" s="3"/>
    </row>
    <row r="126" spans="1:9" s="4" customFormat="1" x14ac:dyDescent="0.5">
      <c r="A126" s="8">
        <v>2024</v>
      </c>
      <c r="B126" s="9" t="s">
        <v>24</v>
      </c>
      <c r="C126" s="9" t="s">
        <v>8</v>
      </c>
      <c r="D126" s="9" t="s">
        <v>152</v>
      </c>
      <c r="E126" s="9" t="s">
        <v>229</v>
      </c>
      <c r="F126" s="10">
        <v>885927.44217599998</v>
      </c>
      <c r="G126" s="10">
        <v>839</v>
      </c>
      <c r="H126" s="11">
        <v>334</v>
      </c>
      <c r="I126" s="3"/>
    </row>
    <row r="127" spans="1:9" s="4" customFormat="1" x14ac:dyDescent="0.5">
      <c r="A127" s="8">
        <v>2024</v>
      </c>
      <c r="B127" s="9" t="s">
        <v>21</v>
      </c>
      <c r="C127" s="9" t="s">
        <v>8</v>
      </c>
      <c r="D127" s="9" t="s">
        <v>153</v>
      </c>
      <c r="E127" s="9" t="s">
        <v>236</v>
      </c>
      <c r="F127" s="10">
        <v>889628.91494400008</v>
      </c>
      <c r="G127" s="10">
        <v>839</v>
      </c>
      <c r="H127" s="11">
        <v>983</v>
      </c>
      <c r="I127" s="3"/>
    </row>
    <row r="128" spans="1:9" s="4" customFormat="1" x14ac:dyDescent="0.5">
      <c r="A128" s="8">
        <v>2024</v>
      </c>
      <c r="B128" s="9" t="s">
        <v>25</v>
      </c>
      <c r="C128" s="9" t="s">
        <v>8</v>
      </c>
      <c r="D128" s="9" t="s">
        <v>154</v>
      </c>
      <c r="E128" s="9" t="s">
        <v>233</v>
      </c>
      <c r="F128" s="10">
        <v>893206.91174400004</v>
      </c>
      <c r="G128" s="10">
        <v>872</v>
      </c>
      <c r="H128" s="11">
        <v>249</v>
      </c>
      <c r="I128" s="3"/>
    </row>
    <row r="129" spans="1:9" s="4" customFormat="1" x14ac:dyDescent="0.5">
      <c r="A129" s="8">
        <v>2024</v>
      </c>
      <c r="B129" s="9" t="s">
        <v>19</v>
      </c>
      <c r="C129" s="9" t="s">
        <v>8</v>
      </c>
      <c r="D129" s="9" t="s">
        <v>155</v>
      </c>
      <c r="E129" s="9" t="s">
        <v>229</v>
      </c>
      <c r="F129" s="10">
        <v>937711.57939199999</v>
      </c>
      <c r="G129" s="10">
        <v>312</v>
      </c>
      <c r="H129" s="11">
        <v>983</v>
      </c>
      <c r="I129" s="3"/>
    </row>
    <row r="130" spans="1:9" s="4" customFormat="1" x14ac:dyDescent="0.5">
      <c r="A130" s="8">
        <v>2024</v>
      </c>
      <c r="B130" s="9" t="s">
        <v>24</v>
      </c>
      <c r="C130" s="9" t="s">
        <v>8</v>
      </c>
      <c r="D130" s="9" t="s">
        <v>156</v>
      </c>
      <c r="E130" s="9" t="s">
        <v>230</v>
      </c>
      <c r="F130" s="10">
        <v>978998.85619199998</v>
      </c>
      <c r="G130" s="10">
        <v>168</v>
      </c>
      <c r="H130" s="11">
        <v>97</v>
      </c>
      <c r="I130" s="3"/>
    </row>
    <row r="131" spans="1:9" s="4" customFormat="1" x14ac:dyDescent="0.5">
      <c r="A131" s="8">
        <v>2024</v>
      </c>
      <c r="B131" s="9" t="s">
        <v>19</v>
      </c>
      <c r="C131" s="9" t="s">
        <v>8</v>
      </c>
      <c r="D131" s="9" t="s">
        <v>157</v>
      </c>
      <c r="E131" s="9" t="s">
        <v>232</v>
      </c>
      <c r="F131" s="10">
        <v>985161.42950399988</v>
      </c>
      <c r="G131" s="10">
        <v>413</v>
      </c>
      <c r="H131" s="11">
        <v>930</v>
      </c>
      <c r="I131" s="3"/>
    </row>
    <row r="132" spans="1:9" s="4" customFormat="1" x14ac:dyDescent="0.5">
      <c r="A132" s="8">
        <v>2024</v>
      </c>
      <c r="B132" s="9" t="s">
        <v>20</v>
      </c>
      <c r="C132" s="9" t="s">
        <v>8</v>
      </c>
      <c r="D132" s="9" t="s">
        <v>158</v>
      </c>
      <c r="E132" s="9" t="s">
        <v>234</v>
      </c>
      <c r="F132" s="10">
        <v>1004613.103872</v>
      </c>
      <c r="G132" s="10">
        <v>749</v>
      </c>
      <c r="H132" s="11">
        <v>648</v>
      </c>
      <c r="I132" s="3"/>
    </row>
    <row r="133" spans="1:9" s="4" customFormat="1" x14ac:dyDescent="0.5">
      <c r="A133" s="8">
        <v>2024</v>
      </c>
      <c r="B133" s="9" t="s">
        <v>21</v>
      </c>
      <c r="C133" s="9" t="s">
        <v>8</v>
      </c>
      <c r="D133" s="9" t="s">
        <v>159</v>
      </c>
      <c r="E133" s="9" t="s">
        <v>234</v>
      </c>
      <c r="F133" s="10">
        <v>1004613.103872</v>
      </c>
      <c r="G133" s="10">
        <v>784</v>
      </c>
      <c r="H133" s="11">
        <v>540</v>
      </c>
      <c r="I133" s="3"/>
    </row>
    <row r="134" spans="1:9" s="4" customFormat="1" x14ac:dyDescent="0.5">
      <c r="A134" s="8">
        <v>2024</v>
      </c>
      <c r="B134" s="9" t="s">
        <v>26</v>
      </c>
      <c r="C134" s="9" t="s">
        <v>8</v>
      </c>
      <c r="D134" s="9" t="s">
        <v>160</v>
      </c>
      <c r="E134" s="9" t="s">
        <v>233</v>
      </c>
      <c r="F134" s="10">
        <v>1020535.8912</v>
      </c>
      <c r="G134" s="10">
        <v>312</v>
      </c>
      <c r="H134" s="11">
        <v>983</v>
      </c>
      <c r="I134" s="3"/>
    </row>
    <row r="135" spans="1:9" s="4" customFormat="1" x14ac:dyDescent="0.5">
      <c r="A135" s="8">
        <v>2024</v>
      </c>
      <c r="B135" s="9" t="s">
        <v>23</v>
      </c>
      <c r="C135" s="9" t="s">
        <v>8</v>
      </c>
      <c r="D135" s="9" t="s">
        <v>130</v>
      </c>
      <c r="E135" s="9" t="s">
        <v>230</v>
      </c>
      <c r="F135" s="10">
        <v>1021491.4268159999</v>
      </c>
      <c r="G135" s="10">
        <v>795</v>
      </c>
      <c r="H135" s="11">
        <v>469</v>
      </c>
      <c r="I135" s="3"/>
    </row>
    <row r="136" spans="1:9" s="4" customFormat="1" x14ac:dyDescent="0.5">
      <c r="A136" s="8">
        <v>2024</v>
      </c>
      <c r="B136" s="9" t="s">
        <v>21</v>
      </c>
      <c r="C136" s="9" t="s">
        <v>8</v>
      </c>
      <c r="D136" s="9" t="s">
        <v>161</v>
      </c>
      <c r="E136" s="9" t="s">
        <v>235</v>
      </c>
      <c r="F136" s="10">
        <v>1021814.148096</v>
      </c>
      <c r="G136" s="10">
        <v>610</v>
      </c>
      <c r="H136" s="11">
        <v>970</v>
      </c>
      <c r="I136" s="3"/>
    </row>
    <row r="137" spans="1:9" s="4" customFormat="1" x14ac:dyDescent="0.5">
      <c r="A137" s="8">
        <v>2024</v>
      </c>
      <c r="B137" s="9" t="s">
        <v>27</v>
      </c>
      <c r="C137" s="9" t="s">
        <v>8</v>
      </c>
      <c r="D137" s="9" t="s">
        <v>162</v>
      </c>
      <c r="E137" s="9" t="s">
        <v>233</v>
      </c>
      <c r="F137" s="10">
        <v>1023350.5820159999</v>
      </c>
      <c r="G137" s="10">
        <v>839</v>
      </c>
      <c r="H137" s="11">
        <v>334</v>
      </c>
      <c r="I137" s="3"/>
    </row>
    <row r="138" spans="1:9" s="4" customFormat="1" x14ac:dyDescent="0.5">
      <c r="A138" s="8">
        <v>2024</v>
      </c>
      <c r="B138" s="9" t="s">
        <v>21</v>
      </c>
      <c r="C138" s="9" t="s">
        <v>8</v>
      </c>
      <c r="D138" s="9" t="s">
        <v>163</v>
      </c>
      <c r="E138" s="9" t="s">
        <v>234</v>
      </c>
      <c r="F138" s="10">
        <v>1026840.1812480001</v>
      </c>
      <c r="G138" s="10">
        <v>784</v>
      </c>
      <c r="H138" s="11">
        <v>540</v>
      </c>
      <c r="I138" s="3"/>
    </row>
    <row r="139" spans="1:9" s="4" customFormat="1" x14ac:dyDescent="0.5">
      <c r="A139" s="8">
        <v>2024</v>
      </c>
      <c r="B139" s="9" t="s">
        <v>23</v>
      </c>
      <c r="C139" s="9" t="s">
        <v>8</v>
      </c>
      <c r="D139" s="9" t="s">
        <v>164</v>
      </c>
      <c r="E139" s="9" t="s">
        <v>234</v>
      </c>
      <c r="F139" s="10">
        <v>1026840.1812480001</v>
      </c>
      <c r="G139" s="10">
        <v>597</v>
      </c>
      <c r="H139" s="11">
        <v>287</v>
      </c>
      <c r="I139" s="3"/>
    </row>
    <row r="140" spans="1:9" s="4" customFormat="1" x14ac:dyDescent="0.5">
      <c r="A140" s="8">
        <v>2024</v>
      </c>
      <c r="B140" s="9" t="s">
        <v>26</v>
      </c>
      <c r="C140" s="9" t="s">
        <v>8</v>
      </c>
      <c r="D140" s="9" t="s">
        <v>165</v>
      </c>
      <c r="E140" s="9" t="s">
        <v>229</v>
      </c>
      <c r="F140" s="10">
        <v>1037624.684544</v>
      </c>
      <c r="G140" s="10">
        <v>413</v>
      </c>
      <c r="H140" s="11">
        <v>930</v>
      </c>
      <c r="I140" s="3"/>
    </row>
    <row r="141" spans="1:9" s="4" customFormat="1" x14ac:dyDescent="0.5">
      <c r="A141" s="8">
        <v>2024</v>
      </c>
      <c r="B141" s="9" t="s">
        <v>26</v>
      </c>
      <c r="C141" s="9" t="s">
        <v>8</v>
      </c>
      <c r="D141" s="9" t="s">
        <v>166</v>
      </c>
      <c r="E141" s="9" t="s">
        <v>228</v>
      </c>
      <c r="F141" s="10">
        <v>1049283.3415680001</v>
      </c>
      <c r="G141" s="10">
        <v>93</v>
      </c>
      <c r="H141" s="11">
        <v>852</v>
      </c>
      <c r="I141" s="3"/>
    </row>
    <row r="142" spans="1:9" s="4" customFormat="1" x14ac:dyDescent="0.5">
      <c r="A142" s="8">
        <v>2024</v>
      </c>
      <c r="B142" s="9" t="s">
        <v>23</v>
      </c>
      <c r="C142" s="9" t="s">
        <v>8</v>
      </c>
      <c r="D142" s="9" t="s">
        <v>167</v>
      </c>
      <c r="E142" s="9" t="s">
        <v>229</v>
      </c>
      <c r="F142" s="10">
        <v>1079732.7959040001</v>
      </c>
      <c r="G142" s="10">
        <v>210</v>
      </c>
      <c r="H142" s="11">
        <v>177</v>
      </c>
      <c r="I142" s="3"/>
    </row>
    <row r="143" spans="1:9" s="4" customFormat="1" x14ac:dyDescent="0.5">
      <c r="A143" s="8">
        <v>2024</v>
      </c>
      <c r="B143" s="9" t="s">
        <v>19</v>
      </c>
      <c r="C143" s="9" t="s">
        <v>8</v>
      </c>
      <c r="D143" s="9" t="s">
        <v>168</v>
      </c>
      <c r="E143" s="9" t="s">
        <v>228</v>
      </c>
      <c r="F143" s="10">
        <v>1100353.28256</v>
      </c>
      <c r="G143" s="10">
        <v>930</v>
      </c>
      <c r="H143" s="11">
        <v>563</v>
      </c>
      <c r="I143" s="3"/>
    </row>
    <row r="144" spans="1:9" s="4" customFormat="1" x14ac:dyDescent="0.5">
      <c r="A144" s="8">
        <v>2024</v>
      </c>
      <c r="B144" s="9" t="s">
        <v>19</v>
      </c>
      <c r="C144" s="9" t="s">
        <v>8</v>
      </c>
      <c r="D144" s="9" t="s">
        <v>169</v>
      </c>
      <c r="E144" s="9" t="s">
        <v>232</v>
      </c>
      <c r="F144" s="10">
        <v>1106395.1861759999</v>
      </c>
      <c r="G144" s="10">
        <v>839</v>
      </c>
      <c r="H144" s="11">
        <v>983</v>
      </c>
      <c r="I144" s="3"/>
    </row>
    <row r="145" spans="1:9" s="4" customFormat="1" x14ac:dyDescent="0.5">
      <c r="A145" s="8">
        <v>2024</v>
      </c>
      <c r="B145" s="9" t="s">
        <v>19</v>
      </c>
      <c r="C145" s="9" t="s">
        <v>8</v>
      </c>
      <c r="D145" s="9" t="s">
        <v>170</v>
      </c>
      <c r="E145" s="9" t="s">
        <v>229</v>
      </c>
      <c r="F145" s="10">
        <v>1133839.1232</v>
      </c>
      <c r="G145" s="10">
        <v>413</v>
      </c>
      <c r="H145" s="11">
        <v>930</v>
      </c>
      <c r="I145" s="3"/>
    </row>
    <row r="146" spans="1:9" s="4" customFormat="1" x14ac:dyDescent="0.5">
      <c r="A146" s="8">
        <v>2024</v>
      </c>
      <c r="B146" s="9" t="s">
        <v>19</v>
      </c>
      <c r="C146" s="9" t="s">
        <v>8</v>
      </c>
      <c r="D146" s="9" t="s">
        <v>171</v>
      </c>
      <c r="E146" s="9" t="s">
        <v>228</v>
      </c>
      <c r="F146" s="10">
        <v>1136465.793792</v>
      </c>
      <c r="G146" s="10">
        <v>210</v>
      </c>
      <c r="H146" s="11">
        <v>177</v>
      </c>
      <c r="I146" s="3"/>
    </row>
    <row r="147" spans="1:9" s="4" customFormat="1" x14ac:dyDescent="0.5">
      <c r="A147" s="8">
        <v>2024</v>
      </c>
      <c r="B147" s="9" t="s">
        <v>19</v>
      </c>
      <c r="C147" s="9" t="s">
        <v>8</v>
      </c>
      <c r="D147" s="9" t="s">
        <v>172</v>
      </c>
      <c r="E147" s="9" t="s">
        <v>233</v>
      </c>
      <c r="F147" s="10">
        <v>1137164.5555199999</v>
      </c>
      <c r="G147" s="10">
        <v>312</v>
      </c>
      <c r="H147" s="11">
        <v>983</v>
      </c>
      <c r="I147" s="3"/>
    </row>
    <row r="148" spans="1:9" s="4" customFormat="1" x14ac:dyDescent="0.5">
      <c r="A148" s="8">
        <v>2024</v>
      </c>
      <c r="B148" s="9" t="s">
        <v>27</v>
      </c>
      <c r="C148" s="9" t="s">
        <v>8</v>
      </c>
      <c r="D148" s="9" t="s">
        <v>173</v>
      </c>
      <c r="E148" s="9" t="s">
        <v>236</v>
      </c>
      <c r="F148" s="10">
        <v>1137264.178176</v>
      </c>
      <c r="G148" s="10">
        <v>597</v>
      </c>
      <c r="H148" s="11">
        <v>287</v>
      </c>
      <c r="I148" s="3"/>
    </row>
    <row r="149" spans="1:9" s="4" customFormat="1" x14ac:dyDescent="0.5">
      <c r="A149" s="8">
        <v>2024</v>
      </c>
      <c r="B149" s="9" t="s">
        <v>22</v>
      </c>
      <c r="C149" s="9" t="s">
        <v>8</v>
      </c>
      <c r="D149" s="9" t="s">
        <v>33</v>
      </c>
      <c r="E149" s="9" t="s">
        <v>233</v>
      </c>
      <c r="F149" s="10">
        <v>1141402.02624</v>
      </c>
      <c r="G149" s="10">
        <v>692</v>
      </c>
      <c r="H149" s="11">
        <v>300</v>
      </c>
      <c r="I149" s="3"/>
    </row>
    <row r="150" spans="1:9" s="4" customFormat="1" x14ac:dyDescent="0.5">
      <c r="A150" s="8">
        <v>2024</v>
      </c>
      <c r="B150" s="9" t="s">
        <v>23</v>
      </c>
      <c r="C150" s="9" t="s">
        <v>8</v>
      </c>
      <c r="D150" s="9" t="s">
        <v>170</v>
      </c>
      <c r="E150" s="9" t="s">
        <v>233</v>
      </c>
      <c r="F150" s="10">
        <v>1159202.2095359999</v>
      </c>
      <c r="G150" s="10">
        <v>839</v>
      </c>
      <c r="H150" s="11">
        <v>983</v>
      </c>
      <c r="I150" s="3"/>
    </row>
    <row r="151" spans="1:9" s="4" customFormat="1" x14ac:dyDescent="0.5">
      <c r="A151" s="8">
        <v>2024</v>
      </c>
      <c r="B151" s="9" t="s">
        <v>20</v>
      </c>
      <c r="C151" s="9" t="s">
        <v>8</v>
      </c>
      <c r="D151" s="9" t="s">
        <v>82</v>
      </c>
      <c r="E151" s="9" t="s">
        <v>235</v>
      </c>
      <c r="F151" s="10">
        <v>1163697.8572799999</v>
      </c>
      <c r="G151" s="10">
        <v>577</v>
      </c>
      <c r="H151" s="11">
        <v>175</v>
      </c>
      <c r="I151" s="3"/>
    </row>
    <row r="152" spans="1:9" s="4" customFormat="1" x14ac:dyDescent="0.5">
      <c r="A152" s="8">
        <v>2024</v>
      </c>
      <c r="B152" s="9" t="s">
        <v>21</v>
      </c>
      <c r="C152" s="9" t="s">
        <v>8</v>
      </c>
      <c r="D152" s="9" t="s">
        <v>133</v>
      </c>
      <c r="E152" s="9" t="s">
        <v>231</v>
      </c>
      <c r="F152" s="10">
        <v>1172200.8614400001</v>
      </c>
      <c r="G152" s="10">
        <v>784</v>
      </c>
      <c r="H152" s="11">
        <v>540</v>
      </c>
      <c r="I152" s="3"/>
    </row>
    <row r="153" spans="1:9" s="4" customFormat="1" x14ac:dyDescent="0.5">
      <c r="A153" s="8">
        <v>2024</v>
      </c>
      <c r="B153" s="9" t="s">
        <v>24</v>
      </c>
      <c r="C153" s="9" t="s">
        <v>8</v>
      </c>
      <c r="D153" s="9" t="s">
        <v>159</v>
      </c>
      <c r="E153" s="9" t="s">
        <v>235</v>
      </c>
      <c r="F153" s="10">
        <v>1174103.513856</v>
      </c>
      <c r="G153" s="10">
        <v>839</v>
      </c>
      <c r="H153" s="11">
        <v>334</v>
      </c>
      <c r="I153" s="3"/>
    </row>
    <row r="154" spans="1:9" s="4" customFormat="1" x14ac:dyDescent="0.5">
      <c r="A154" s="8">
        <v>2024</v>
      </c>
      <c r="B154" s="9" t="s">
        <v>21</v>
      </c>
      <c r="C154" s="9" t="s">
        <v>8</v>
      </c>
      <c r="D154" s="9" t="s">
        <v>142</v>
      </c>
      <c r="E154" s="9" t="s">
        <v>229</v>
      </c>
      <c r="F154" s="10">
        <v>1178975.2020480002</v>
      </c>
      <c r="G154" s="10">
        <v>577</v>
      </c>
      <c r="H154" s="11">
        <v>175</v>
      </c>
      <c r="I154" s="3"/>
    </row>
    <row r="155" spans="1:9" s="4" customFormat="1" x14ac:dyDescent="0.5">
      <c r="A155" s="8">
        <v>2024</v>
      </c>
      <c r="B155" s="9" t="s">
        <v>25</v>
      </c>
      <c r="C155" s="9" t="s">
        <v>8</v>
      </c>
      <c r="D155" s="9" t="s">
        <v>174</v>
      </c>
      <c r="E155" s="9" t="s">
        <v>235</v>
      </c>
      <c r="F155" s="10">
        <v>1189320.5237759999</v>
      </c>
      <c r="G155" s="10">
        <v>287</v>
      </c>
      <c r="H155" s="11">
        <v>744</v>
      </c>
      <c r="I155" s="3"/>
    </row>
    <row r="156" spans="1:9" s="4" customFormat="1" x14ac:dyDescent="0.5">
      <c r="A156" s="8">
        <v>2024</v>
      </c>
      <c r="B156" s="9" t="s">
        <v>26</v>
      </c>
      <c r="C156" s="9" t="s">
        <v>8</v>
      </c>
      <c r="D156" s="9" t="s">
        <v>113</v>
      </c>
      <c r="E156" s="9" t="s">
        <v>236</v>
      </c>
      <c r="F156" s="10">
        <v>1192630.5216000001</v>
      </c>
      <c r="G156" s="10">
        <v>568</v>
      </c>
      <c r="H156" s="11">
        <v>505</v>
      </c>
      <c r="I156" s="3"/>
    </row>
    <row r="157" spans="1:9" s="4" customFormat="1" x14ac:dyDescent="0.5">
      <c r="A157" s="8">
        <v>2024</v>
      </c>
      <c r="B157" s="9" t="s">
        <v>23</v>
      </c>
      <c r="C157" s="9" t="s">
        <v>8</v>
      </c>
      <c r="D157" s="9" t="s">
        <v>175</v>
      </c>
      <c r="E157" s="9" t="s">
        <v>233</v>
      </c>
      <c r="F157" s="10">
        <v>1195874.5720319999</v>
      </c>
      <c r="G157" s="10">
        <v>168</v>
      </c>
      <c r="H157" s="11">
        <v>97</v>
      </c>
      <c r="I157" s="3"/>
    </row>
    <row r="158" spans="1:9" s="4" customFormat="1" x14ac:dyDescent="0.5">
      <c r="A158" s="8">
        <v>2024</v>
      </c>
      <c r="B158" s="9" t="s">
        <v>21</v>
      </c>
      <c r="C158" s="9" t="s">
        <v>8</v>
      </c>
      <c r="D158" s="9" t="s">
        <v>106</v>
      </c>
      <c r="E158" s="9" t="s">
        <v>230</v>
      </c>
      <c r="F158" s="10">
        <v>1208650.125312</v>
      </c>
      <c r="G158" s="10">
        <v>784</v>
      </c>
      <c r="H158" s="11">
        <v>540</v>
      </c>
      <c r="I158" s="3"/>
    </row>
    <row r="159" spans="1:9" s="4" customFormat="1" x14ac:dyDescent="0.5">
      <c r="A159" s="8">
        <v>2024</v>
      </c>
      <c r="B159" s="9" t="s">
        <v>23</v>
      </c>
      <c r="C159" s="9" t="s">
        <v>8</v>
      </c>
      <c r="D159" s="9" t="s">
        <v>174</v>
      </c>
      <c r="E159" s="9" t="s">
        <v>232</v>
      </c>
      <c r="F159" s="10">
        <v>1210429.3017599999</v>
      </c>
      <c r="G159" s="10">
        <v>968</v>
      </c>
      <c r="H159" s="11">
        <v>330</v>
      </c>
      <c r="I159" s="3"/>
    </row>
    <row r="160" spans="1:9" s="4" customFormat="1" x14ac:dyDescent="0.5">
      <c r="A160" s="8">
        <v>2024</v>
      </c>
      <c r="B160" s="9" t="s">
        <v>19</v>
      </c>
      <c r="C160" s="9" t="s">
        <v>8</v>
      </c>
      <c r="D160" s="9" t="s">
        <v>72</v>
      </c>
      <c r="E160" s="9" t="s">
        <v>230</v>
      </c>
      <c r="F160" s="10">
        <v>1218282.653952</v>
      </c>
      <c r="G160" s="10">
        <v>872</v>
      </c>
      <c r="H160" s="11">
        <v>249</v>
      </c>
      <c r="I160" s="3"/>
    </row>
    <row r="161" spans="1:9" s="4" customFormat="1" x14ac:dyDescent="0.5">
      <c r="A161" s="8">
        <v>2024</v>
      </c>
      <c r="B161" s="9" t="s">
        <v>22</v>
      </c>
      <c r="C161" s="9" t="s">
        <v>8</v>
      </c>
      <c r="D161" s="9" t="s">
        <v>176</v>
      </c>
      <c r="E161" s="9" t="s">
        <v>230</v>
      </c>
      <c r="F161" s="10">
        <v>1218693.7728000002</v>
      </c>
      <c r="G161" s="10">
        <v>795</v>
      </c>
      <c r="H161" s="11">
        <v>469</v>
      </c>
      <c r="I161" s="3"/>
    </row>
    <row r="162" spans="1:9" s="4" customFormat="1" x14ac:dyDescent="0.5">
      <c r="A162" s="8">
        <v>2024</v>
      </c>
      <c r="B162" s="9" t="s">
        <v>21</v>
      </c>
      <c r="C162" s="9" t="s">
        <v>8</v>
      </c>
      <c r="D162" s="9" t="s">
        <v>158</v>
      </c>
      <c r="E162" s="9" t="s">
        <v>234</v>
      </c>
      <c r="F162" s="10">
        <v>1218693.7728000002</v>
      </c>
      <c r="G162" s="10">
        <v>872</v>
      </c>
      <c r="H162" s="11">
        <v>249</v>
      </c>
      <c r="I162" s="3"/>
    </row>
    <row r="163" spans="1:9" s="4" customFormat="1" x14ac:dyDescent="0.5">
      <c r="A163" s="8">
        <v>2024</v>
      </c>
      <c r="B163" s="9" t="s">
        <v>23</v>
      </c>
      <c r="C163" s="9" t="s">
        <v>8</v>
      </c>
      <c r="D163" s="9" t="s">
        <v>138</v>
      </c>
      <c r="E163" s="9" t="s">
        <v>233</v>
      </c>
      <c r="F163" s="10">
        <v>1219204.514304</v>
      </c>
      <c r="G163" s="10">
        <v>610</v>
      </c>
      <c r="H163" s="11">
        <v>970</v>
      </c>
      <c r="I163" s="3"/>
    </row>
    <row r="164" spans="1:9" s="4" customFormat="1" x14ac:dyDescent="0.5">
      <c r="A164" s="8">
        <v>2024</v>
      </c>
      <c r="B164" s="9" t="s">
        <v>19</v>
      </c>
      <c r="C164" s="9" t="s">
        <v>8</v>
      </c>
      <c r="D164" s="9" t="s">
        <v>108</v>
      </c>
      <c r="E164" s="9" t="s">
        <v>236</v>
      </c>
      <c r="F164" s="10">
        <v>1229774.337792</v>
      </c>
      <c r="G164" s="10">
        <v>403</v>
      </c>
      <c r="H164" s="11">
        <v>953</v>
      </c>
      <c r="I164" s="3"/>
    </row>
    <row r="165" spans="1:9" s="4" customFormat="1" x14ac:dyDescent="0.5">
      <c r="A165" s="8">
        <v>2024</v>
      </c>
      <c r="B165" s="9" t="s">
        <v>25</v>
      </c>
      <c r="C165" s="9" t="s">
        <v>8</v>
      </c>
      <c r="D165" s="9" t="s">
        <v>177</v>
      </c>
      <c r="E165" s="9" t="s">
        <v>232</v>
      </c>
      <c r="F165" s="10">
        <v>1237760.9879040001</v>
      </c>
      <c r="G165" s="10">
        <v>968</v>
      </c>
      <c r="H165" s="11">
        <v>330</v>
      </c>
      <c r="I165" s="3"/>
    </row>
    <row r="166" spans="1:9" s="4" customFormat="1" x14ac:dyDescent="0.5">
      <c r="A166" s="8">
        <v>2024</v>
      </c>
      <c r="B166" s="9" t="s">
        <v>23</v>
      </c>
      <c r="C166" s="9" t="s">
        <v>8</v>
      </c>
      <c r="D166" s="9" t="s">
        <v>178</v>
      </c>
      <c r="E166" s="9" t="s">
        <v>229</v>
      </c>
      <c r="F166" s="10">
        <v>1254135.5850239999</v>
      </c>
      <c r="G166" s="10">
        <v>839</v>
      </c>
      <c r="H166" s="11">
        <v>983</v>
      </c>
      <c r="I166" s="3"/>
    </row>
    <row r="167" spans="1:9" s="4" customFormat="1" x14ac:dyDescent="0.5">
      <c r="A167" s="8">
        <v>2024</v>
      </c>
      <c r="B167" s="9" t="s">
        <v>19</v>
      </c>
      <c r="C167" s="9" t="s">
        <v>8</v>
      </c>
      <c r="D167" s="9" t="s">
        <v>99</v>
      </c>
      <c r="E167" s="9" t="s">
        <v>228</v>
      </c>
      <c r="F167" s="10">
        <v>1255155.6648959999</v>
      </c>
      <c r="G167" s="10">
        <v>168</v>
      </c>
      <c r="H167" s="11">
        <v>97</v>
      </c>
      <c r="I167" s="3"/>
    </row>
    <row r="168" spans="1:9" s="4" customFormat="1" x14ac:dyDescent="0.5">
      <c r="A168" s="8">
        <v>2024</v>
      </c>
      <c r="B168" s="9" t="s">
        <v>23</v>
      </c>
      <c r="C168" s="9" t="s">
        <v>8</v>
      </c>
      <c r="D168" s="9" t="s">
        <v>177</v>
      </c>
      <c r="E168" s="9" t="s">
        <v>236</v>
      </c>
      <c r="F168" s="10">
        <v>1277043.1833599999</v>
      </c>
      <c r="G168" s="10">
        <v>312</v>
      </c>
      <c r="H168" s="11">
        <v>983</v>
      </c>
      <c r="I168" s="3"/>
    </row>
    <row r="169" spans="1:9" s="4" customFormat="1" x14ac:dyDescent="0.5">
      <c r="A169" s="8">
        <v>2024</v>
      </c>
      <c r="B169" s="9" t="s">
        <v>23</v>
      </c>
      <c r="C169" s="9" t="s">
        <v>8</v>
      </c>
      <c r="D169" s="9" t="s">
        <v>177</v>
      </c>
      <c r="E169" s="9" t="s">
        <v>236</v>
      </c>
      <c r="F169" s="10">
        <v>1277043.1833599999</v>
      </c>
      <c r="G169" s="10">
        <v>312</v>
      </c>
      <c r="H169" s="11">
        <v>983</v>
      </c>
      <c r="I169" s="3"/>
    </row>
    <row r="170" spans="1:9" s="4" customFormat="1" x14ac:dyDescent="0.5">
      <c r="A170" s="8">
        <v>2024</v>
      </c>
      <c r="B170" s="9" t="s">
        <v>23</v>
      </c>
      <c r="C170" s="9" t="s">
        <v>8</v>
      </c>
      <c r="D170" s="9" t="s">
        <v>177</v>
      </c>
      <c r="E170" s="9" t="s">
        <v>236</v>
      </c>
      <c r="F170" s="10">
        <v>1277043.1833599999</v>
      </c>
      <c r="G170" s="10">
        <v>312</v>
      </c>
      <c r="H170" s="11">
        <v>983</v>
      </c>
      <c r="I170" s="3"/>
    </row>
    <row r="171" spans="1:9" s="4" customFormat="1" x14ac:dyDescent="0.5">
      <c r="A171" s="8">
        <v>2024</v>
      </c>
      <c r="B171" s="9" t="s">
        <v>23</v>
      </c>
      <c r="C171" s="9" t="s">
        <v>8</v>
      </c>
      <c r="D171" s="9" t="s">
        <v>177</v>
      </c>
      <c r="E171" s="9" t="s">
        <v>236</v>
      </c>
      <c r="F171" s="10">
        <v>1277043.1833599999</v>
      </c>
      <c r="G171" s="10">
        <v>312</v>
      </c>
      <c r="H171" s="11">
        <v>983</v>
      </c>
      <c r="I171" s="3"/>
    </row>
    <row r="172" spans="1:9" s="4" customFormat="1" x14ac:dyDescent="0.5">
      <c r="A172" s="8">
        <v>2024</v>
      </c>
      <c r="B172" s="9" t="s">
        <v>23</v>
      </c>
      <c r="C172" s="9" t="s">
        <v>8</v>
      </c>
      <c r="D172" s="9" t="s">
        <v>177</v>
      </c>
      <c r="E172" s="9" t="s">
        <v>236</v>
      </c>
      <c r="F172" s="10">
        <v>1277043.1833599999</v>
      </c>
      <c r="G172" s="10">
        <v>312</v>
      </c>
      <c r="H172" s="11">
        <v>983</v>
      </c>
      <c r="I172" s="3"/>
    </row>
    <row r="173" spans="1:9" s="4" customFormat="1" x14ac:dyDescent="0.5">
      <c r="A173" s="8">
        <v>2024</v>
      </c>
      <c r="B173" s="9" t="s">
        <v>21</v>
      </c>
      <c r="C173" s="9" t="s">
        <v>8</v>
      </c>
      <c r="D173" s="9" t="s">
        <v>51</v>
      </c>
      <c r="E173" s="9" t="s">
        <v>228</v>
      </c>
      <c r="F173" s="10">
        <v>1287305.720064</v>
      </c>
      <c r="G173" s="10">
        <v>403</v>
      </c>
      <c r="H173" s="11">
        <v>953</v>
      </c>
      <c r="I173" s="3"/>
    </row>
    <row r="174" spans="1:9" s="4" customFormat="1" x14ac:dyDescent="0.5">
      <c r="A174" s="8">
        <v>2024</v>
      </c>
      <c r="B174" s="9" t="s">
        <v>24</v>
      </c>
      <c r="C174" s="9" t="s">
        <v>8</v>
      </c>
      <c r="D174" s="9" t="s">
        <v>127</v>
      </c>
      <c r="E174" s="9" t="s">
        <v>236</v>
      </c>
      <c r="F174" s="10">
        <v>1290034.8195840002</v>
      </c>
      <c r="G174" s="10">
        <v>930</v>
      </c>
      <c r="H174" s="11">
        <v>563</v>
      </c>
      <c r="I174" s="3"/>
    </row>
    <row r="175" spans="1:9" s="4" customFormat="1" x14ac:dyDescent="0.5">
      <c r="A175" s="8">
        <v>2024</v>
      </c>
      <c r="B175" s="9" t="s">
        <v>21</v>
      </c>
      <c r="C175" s="9" t="s">
        <v>8</v>
      </c>
      <c r="D175" s="9" t="s">
        <v>124</v>
      </c>
      <c r="E175" s="9" t="s">
        <v>231</v>
      </c>
      <c r="F175" s="10">
        <v>1291950.1002239999</v>
      </c>
      <c r="G175" s="10">
        <v>568</v>
      </c>
      <c r="H175" s="11">
        <v>505</v>
      </c>
      <c r="I175" s="3"/>
    </row>
    <row r="176" spans="1:9" s="4" customFormat="1" x14ac:dyDescent="0.5">
      <c r="A176" s="8">
        <v>2024</v>
      </c>
      <c r="B176" s="9" t="s">
        <v>23</v>
      </c>
      <c r="C176" s="9" t="s">
        <v>8</v>
      </c>
      <c r="D176" s="9" t="s">
        <v>179</v>
      </c>
      <c r="E176" s="9" t="s">
        <v>233</v>
      </c>
      <c r="F176" s="10">
        <v>1293695.6014080001</v>
      </c>
      <c r="G176" s="10">
        <v>168</v>
      </c>
      <c r="H176" s="11">
        <v>97</v>
      </c>
      <c r="I176" s="3"/>
    </row>
    <row r="177" spans="1:9" s="4" customFormat="1" x14ac:dyDescent="0.5">
      <c r="A177" s="8">
        <v>2024</v>
      </c>
      <c r="B177" s="9" t="s">
        <v>21</v>
      </c>
      <c r="C177" s="9" t="s">
        <v>8</v>
      </c>
      <c r="D177" s="9" t="s">
        <v>178</v>
      </c>
      <c r="E177" s="9" t="s">
        <v>229</v>
      </c>
      <c r="F177" s="10">
        <v>1308476.236032</v>
      </c>
      <c r="G177" s="10">
        <v>568</v>
      </c>
      <c r="H177" s="11">
        <v>505</v>
      </c>
      <c r="I177" s="3"/>
    </row>
    <row r="178" spans="1:9" s="4" customFormat="1" x14ac:dyDescent="0.5">
      <c r="A178" s="8">
        <v>2024</v>
      </c>
      <c r="B178" s="9" t="s">
        <v>25</v>
      </c>
      <c r="C178" s="9" t="s">
        <v>8</v>
      </c>
      <c r="D178" s="9" t="s">
        <v>180</v>
      </c>
      <c r="E178" s="9" t="s">
        <v>231</v>
      </c>
      <c r="F178" s="10">
        <v>1322022.1109759999</v>
      </c>
      <c r="G178" s="10">
        <v>839</v>
      </c>
      <c r="H178" s="11">
        <v>983</v>
      </c>
      <c r="I178" s="3"/>
    </row>
    <row r="179" spans="1:9" s="4" customFormat="1" x14ac:dyDescent="0.5">
      <c r="A179" s="8">
        <v>2024</v>
      </c>
      <c r="B179" s="9" t="s">
        <v>20</v>
      </c>
      <c r="C179" s="9" t="s">
        <v>8</v>
      </c>
      <c r="D179" s="9" t="s">
        <v>173</v>
      </c>
      <c r="E179" s="9" t="s">
        <v>234</v>
      </c>
      <c r="F179" s="10">
        <v>1340766.6048000001</v>
      </c>
      <c r="G179" s="10">
        <v>597</v>
      </c>
      <c r="H179" s="11">
        <v>287</v>
      </c>
      <c r="I179" s="3"/>
    </row>
    <row r="180" spans="1:9" s="4" customFormat="1" x14ac:dyDescent="0.5">
      <c r="A180" s="8">
        <v>2024</v>
      </c>
      <c r="B180" s="9" t="s">
        <v>20</v>
      </c>
      <c r="C180" s="9" t="s">
        <v>8</v>
      </c>
      <c r="D180" s="9" t="s">
        <v>181</v>
      </c>
      <c r="E180" s="9" t="s">
        <v>234</v>
      </c>
      <c r="F180" s="10">
        <v>1368522.0380160001</v>
      </c>
      <c r="G180" s="10">
        <v>312</v>
      </c>
      <c r="H180" s="11">
        <v>983</v>
      </c>
      <c r="I180" s="3"/>
    </row>
    <row r="181" spans="1:9" s="4" customFormat="1" x14ac:dyDescent="0.5">
      <c r="A181" s="8">
        <v>2024</v>
      </c>
      <c r="B181" s="9" t="s">
        <v>18</v>
      </c>
      <c r="C181" s="9" t="s">
        <v>8</v>
      </c>
      <c r="D181" s="9" t="s">
        <v>182</v>
      </c>
      <c r="E181" s="9" t="s">
        <v>234</v>
      </c>
      <c r="F181" s="10">
        <v>1368948.59136</v>
      </c>
      <c r="G181" s="10">
        <v>577</v>
      </c>
      <c r="H181" s="11">
        <v>175</v>
      </c>
      <c r="I181" s="3"/>
    </row>
    <row r="182" spans="1:9" s="4" customFormat="1" x14ac:dyDescent="0.5">
      <c r="A182" s="8">
        <v>2024</v>
      </c>
      <c r="B182" s="9" t="s">
        <v>25</v>
      </c>
      <c r="C182" s="9" t="s">
        <v>8</v>
      </c>
      <c r="D182" s="9" t="s">
        <v>113</v>
      </c>
      <c r="E182" s="9" t="s">
        <v>230</v>
      </c>
      <c r="F182" s="10">
        <v>1380748.9651199998</v>
      </c>
      <c r="G182" s="10">
        <v>795</v>
      </c>
      <c r="H182" s="11">
        <v>469</v>
      </c>
      <c r="I182" s="3"/>
    </row>
    <row r="183" spans="1:9" s="4" customFormat="1" x14ac:dyDescent="0.5">
      <c r="A183" s="8">
        <v>2024</v>
      </c>
      <c r="B183" s="9" t="s">
        <v>27</v>
      </c>
      <c r="C183" s="9" t="s">
        <v>8</v>
      </c>
      <c r="D183" s="9" t="s">
        <v>91</v>
      </c>
      <c r="E183" s="9" t="s">
        <v>233</v>
      </c>
      <c r="F183" s="10">
        <v>1380748.9651199998</v>
      </c>
      <c r="G183" s="10">
        <v>168</v>
      </c>
      <c r="H183" s="11">
        <v>97</v>
      </c>
      <c r="I183" s="3"/>
    </row>
    <row r="184" spans="1:9" s="4" customFormat="1" x14ac:dyDescent="0.5">
      <c r="A184" s="8">
        <v>2024</v>
      </c>
      <c r="B184" s="9" t="s">
        <v>24</v>
      </c>
      <c r="C184" s="9" t="s">
        <v>8</v>
      </c>
      <c r="D184" s="9" t="s">
        <v>176</v>
      </c>
      <c r="E184" s="9" t="s">
        <v>233</v>
      </c>
      <c r="F184" s="10">
        <v>1380748.9651199998</v>
      </c>
      <c r="G184" s="10">
        <v>872</v>
      </c>
      <c r="H184" s="11">
        <v>249</v>
      </c>
      <c r="I184" s="3"/>
    </row>
    <row r="185" spans="1:9" s="4" customFormat="1" x14ac:dyDescent="0.5">
      <c r="A185" s="8">
        <v>2024</v>
      </c>
      <c r="B185" s="9" t="s">
        <v>27</v>
      </c>
      <c r="C185" s="9" t="s">
        <v>8</v>
      </c>
      <c r="D185" s="9" t="s">
        <v>51</v>
      </c>
      <c r="E185" s="9" t="s">
        <v>233</v>
      </c>
      <c r="F185" s="10">
        <v>1380748.9651199998</v>
      </c>
      <c r="G185" s="10">
        <v>210</v>
      </c>
      <c r="H185" s="11">
        <v>177</v>
      </c>
      <c r="I185" s="3"/>
    </row>
    <row r="186" spans="1:9" s="4" customFormat="1" x14ac:dyDescent="0.5">
      <c r="A186" s="8">
        <v>2024</v>
      </c>
      <c r="B186" s="9" t="s">
        <v>18</v>
      </c>
      <c r="C186" s="9" t="s">
        <v>8</v>
      </c>
      <c r="D186" s="9" t="s">
        <v>106</v>
      </c>
      <c r="E186" s="9" t="s">
        <v>234</v>
      </c>
      <c r="F186" s="10">
        <v>1380748.9651199998</v>
      </c>
      <c r="G186" s="10">
        <v>872</v>
      </c>
      <c r="H186" s="11">
        <v>249</v>
      </c>
      <c r="I186" s="3"/>
    </row>
    <row r="187" spans="1:9" s="4" customFormat="1" x14ac:dyDescent="0.5">
      <c r="A187" s="8">
        <v>2024</v>
      </c>
      <c r="B187" s="9" t="s">
        <v>25</v>
      </c>
      <c r="C187" s="9" t="s">
        <v>8</v>
      </c>
      <c r="D187" s="9" t="s">
        <v>159</v>
      </c>
      <c r="E187" s="9" t="s">
        <v>234</v>
      </c>
      <c r="F187" s="10">
        <v>1380748.9651199998</v>
      </c>
      <c r="G187" s="10">
        <v>568</v>
      </c>
      <c r="H187" s="11">
        <v>505</v>
      </c>
      <c r="I187" s="3"/>
    </row>
    <row r="188" spans="1:9" s="4" customFormat="1" x14ac:dyDescent="0.5">
      <c r="A188" s="8">
        <v>2024</v>
      </c>
      <c r="B188" s="9" t="s">
        <v>21</v>
      </c>
      <c r="C188" s="9" t="s">
        <v>8</v>
      </c>
      <c r="D188" s="9" t="s">
        <v>181</v>
      </c>
      <c r="E188" s="9" t="s">
        <v>234</v>
      </c>
      <c r="F188" s="10">
        <v>1380748.9651199998</v>
      </c>
      <c r="G188" s="10">
        <v>930</v>
      </c>
      <c r="H188" s="11">
        <v>563</v>
      </c>
      <c r="I188" s="3"/>
    </row>
    <row r="189" spans="1:9" s="4" customFormat="1" x14ac:dyDescent="0.5">
      <c r="A189" s="8">
        <v>2024</v>
      </c>
      <c r="B189" s="9" t="s">
        <v>22</v>
      </c>
      <c r="C189" s="9" t="s">
        <v>8</v>
      </c>
      <c r="D189" s="9" t="s">
        <v>182</v>
      </c>
      <c r="E189" s="9" t="s">
        <v>234</v>
      </c>
      <c r="F189" s="10">
        <v>1380748.9651199998</v>
      </c>
      <c r="G189" s="10">
        <v>872</v>
      </c>
      <c r="H189" s="11">
        <v>249</v>
      </c>
      <c r="I189" s="3"/>
    </row>
    <row r="190" spans="1:9" s="4" customFormat="1" x14ac:dyDescent="0.5">
      <c r="A190" s="8">
        <v>2024</v>
      </c>
      <c r="B190" s="9" t="s">
        <v>27</v>
      </c>
      <c r="C190" s="9" t="s">
        <v>8</v>
      </c>
      <c r="D190" s="9" t="s">
        <v>142</v>
      </c>
      <c r="E190" s="9" t="s">
        <v>232</v>
      </c>
      <c r="F190" s="10">
        <v>1380748.9651199998</v>
      </c>
      <c r="G190" s="10">
        <v>93</v>
      </c>
      <c r="H190" s="11">
        <v>852</v>
      </c>
      <c r="I190" s="3"/>
    </row>
    <row r="191" spans="1:9" s="4" customFormat="1" x14ac:dyDescent="0.5">
      <c r="A191" s="8">
        <v>2024</v>
      </c>
      <c r="B191" s="9" t="s">
        <v>25</v>
      </c>
      <c r="C191" s="9" t="s">
        <v>8</v>
      </c>
      <c r="D191" s="9" t="s">
        <v>134</v>
      </c>
      <c r="E191" s="9" t="s">
        <v>232</v>
      </c>
      <c r="F191" s="10">
        <v>1380748.9651199998</v>
      </c>
      <c r="G191" s="10">
        <v>93</v>
      </c>
      <c r="H191" s="11">
        <v>852</v>
      </c>
      <c r="I191" s="3"/>
    </row>
    <row r="192" spans="1:9" s="4" customFormat="1" x14ac:dyDescent="0.5">
      <c r="A192" s="8">
        <v>2024</v>
      </c>
      <c r="B192" s="9" t="s">
        <v>25</v>
      </c>
      <c r="C192" s="9" t="s">
        <v>8</v>
      </c>
      <c r="D192" s="9" t="s">
        <v>138</v>
      </c>
      <c r="E192" s="9" t="s">
        <v>232</v>
      </c>
      <c r="F192" s="10">
        <v>1380748.9651199998</v>
      </c>
      <c r="G192" s="10">
        <v>168</v>
      </c>
      <c r="H192" s="11">
        <v>97</v>
      </c>
      <c r="I192" s="3"/>
    </row>
    <row r="193" spans="1:9" s="4" customFormat="1" x14ac:dyDescent="0.5">
      <c r="A193" s="8">
        <v>2024</v>
      </c>
      <c r="B193" s="9" t="s">
        <v>21</v>
      </c>
      <c r="C193" s="9" t="s">
        <v>8</v>
      </c>
      <c r="D193" s="9" t="s">
        <v>108</v>
      </c>
      <c r="E193" s="9" t="s">
        <v>232</v>
      </c>
      <c r="F193" s="10">
        <v>1380748.9651199998</v>
      </c>
      <c r="G193" s="10">
        <v>403</v>
      </c>
      <c r="H193" s="11">
        <v>953</v>
      </c>
      <c r="I193" s="3"/>
    </row>
    <row r="194" spans="1:9" s="4" customFormat="1" x14ac:dyDescent="0.5">
      <c r="A194" s="8">
        <v>2024</v>
      </c>
      <c r="B194" s="9" t="s">
        <v>18</v>
      </c>
      <c r="C194" s="9" t="s">
        <v>8</v>
      </c>
      <c r="D194" s="9" t="s">
        <v>158</v>
      </c>
      <c r="E194" s="9" t="s">
        <v>229</v>
      </c>
      <c r="F194" s="10">
        <v>1380748.9651199998</v>
      </c>
      <c r="G194" s="10">
        <v>577</v>
      </c>
      <c r="H194" s="11">
        <v>175</v>
      </c>
      <c r="I194" s="3"/>
    </row>
    <row r="195" spans="1:9" s="4" customFormat="1" x14ac:dyDescent="0.5">
      <c r="A195" s="8">
        <v>2024</v>
      </c>
      <c r="B195" s="9" t="s">
        <v>19</v>
      </c>
      <c r="C195" s="9" t="s">
        <v>8</v>
      </c>
      <c r="D195" s="9" t="s">
        <v>174</v>
      </c>
      <c r="E195" s="9" t="s">
        <v>229</v>
      </c>
      <c r="F195" s="10">
        <v>1380748.9651199998</v>
      </c>
      <c r="G195" s="10">
        <v>610</v>
      </c>
      <c r="H195" s="11">
        <v>970</v>
      </c>
      <c r="I195" s="3"/>
    </row>
    <row r="196" spans="1:9" s="4" customFormat="1" x14ac:dyDescent="0.5">
      <c r="A196" s="8">
        <v>2024</v>
      </c>
      <c r="B196" s="9" t="s">
        <v>22</v>
      </c>
      <c r="C196" s="9" t="s">
        <v>8</v>
      </c>
      <c r="D196" s="9" t="s">
        <v>180</v>
      </c>
      <c r="E196" s="9" t="s">
        <v>229</v>
      </c>
      <c r="F196" s="10">
        <v>1380748.9651199998</v>
      </c>
      <c r="G196" s="10">
        <v>577</v>
      </c>
      <c r="H196" s="11">
        <v>175</v>
      </c>
      <c r="I196" s="3"/>
    </row>
    <row r="197" spans="1:9" s="4" customFormat="1" x14ac:dyDescent="0.5">
      <c r="A197" s="8">
        <v>2024</v>
      </c>
      <c r="B197" s="9" t="s">
        <v>25</v>
      </c>
      <c r="C197" s="9" t="s">
        <v>8</v>
      </c>
      <c r="D197" s="9" t="s">
        <v>99</v>
      </c>
      <c r="E197" s="9" t="s">
        <v>235</v>
      </c>
      <c r="F197" s="10">
        <v>1380748.9651199998</v>
      </c>
      <c r="G197" s="10">
        <v>210</v>
      </c>
      <c r="H197" s="11">
        <v>177</v>
      </c>
      <c r="I197" s="3"/>
    </row>
    <row r="198" spans="1:9" s="4" customFormat="1" x14ac:dyDescent="0.5">
      <c r="A198" s="8">
        <v>2024</v>
      </c>
      <c r="B198" s="9" t="s">
        <v>21</v>
      </c>
      <c r="C198" s="9" t="s">
        <v>8</v>
      </c>
      <c r="D198" s="9" t="s">
        <v>177</v>
      </c>
      <c r="E198" s="9" t="s">
        <v>231</v>
      </c>
      <c r="F198" s="10">
        <v>1380748.9651199998</v>
      </c>
      <c r="G198" s="10">
        <v>403</v>
      </c>
      <c r="H198" s="11">
        <v>953</v>
      </c>
      <c r="I198" s="3"/>
    </row>
    <row r="199" spans="1:9" s="4" customFormat="1" x14ac:dyDescent="0.5">
      <c r="A199" s="8">
        <v>2024</v>
      </c>
      <c r="B199" s="9" t="s">
        <v>27</v>
      </c>
      <c r="C199" s="9" t="s">
        <v>8</v>
      </c>
      <c r="D199" s="9" t="s">
        <v>127</v>
      </c>
      <c r="E199" s="9" t="s">
        <v>231</v>
      </c>
      <c r="F199" s="10">
        <v>1380748.9651199998</v>
      </c>
      <c r="G199" s="10">
        <v>610</v>
      </c>
      <c r="H199" s="11">
        <v>970</v>
      </c>
      <c r="I199" s="3"/>
    </row>
    <row r="200" spans="1:9" s="4" customFormat="1" x14ac:dyDescent="0.5">
      <c r="A200" s="8">
        <v>2024</v>
      </c>
      <c r="B200" s="9" t="s">
        <v>19</v>
      </c>
      <c r="C200" s="9" t="s">
        <v>8</v>
      </c>
      <c r="D200" s="9" t="s">
        <v>183</v>
      </c>
      <c r="E200" s="9" t="s">
        <v>231</v>
      </c>
      <c r="F200" s="10">
        <v>1380748.9651199998</v>
      </c>
      <c r="G200" s="10">
        <v>839</v>
      </c>
      <c r="H200" s="11">
        <v>334</v>
      </c>
      <c r="I200" s="3"/>
    </row>
    <row r="201" spans="1:9" s="4" customFormat="1" x14ac:dyDescent="0.5">
      <c r="A201" s="8">
        <v>2024</v>
      </c>
      <c r="B201" s="9" t="s">
        <v>21</v>
      </c>
      <c r="C201" s="9" t="s">
        <v>8</v>
      </c>
      <c r="D201" s="9" t="s">
        <v>72</v>
      </c>
      <c r="E201" s="9" t="s">
        <v>231</v>
      </c>
      <c r="F201" s="10">
        <v>1380748.9651199998</v>
      </c>
      <c r="G201" s="10">
        <v>839</v>
      </c>
      <c r="H201" s="11">
        <v>334</v>
      </c>
      <c r="I201" s="3"/>
    </row>
    <row r="202" spans="1:9" s="4" customFormat="1" x14ac:dyDescent="0.5">
      <c r="A202" s="8">
        <v>2024</v>
      </c>
      <c r="B202" s="9" t="s">
        <v>21</v>
      </c>
      <c r="C202" s="9" t="s">
        <v>8</v>
      </c>
      <c r="D202" s="9" t="s">
        <v>163</v>
      </c>
      <c r="E202" s="9" t="s">
        <v>236</v>
      </c>
      <c r="F202" s="10">
        <v>1380748.9651199998</v>
      </c>
      <c r="G202" s="10">
        <v>312</v>
      </c>
      <c r="H202" s="11">
        <v>983</v>
      </c>
      <c r="I202" s="3"/>
    </row>
    <row r="203" spans="1:9" s="4" customFormat="1" x14ac:dyDescent="0.5">
      <c r="A203" s="8">
        <v>2024</v>
      </c>
      <c r="B203" s="9" t="s">
        <v>20</v>
      </c>
      <c r="C203" s="9" t="s">
        <v>8</v>
      </c>
      <c r="D203" s="9" t="s">
        <v>124</v>
      </c>
      <c r="E203" s="9" t="s">
        <v>236</v>
      </c>
      <c r="F203" s="10">
        <v>1380748.9651199998</v>
      </c>
      <c r="G203" s="10">
        <v>577</v>
      </c>
      <c r="H203" s="11">
        <v>175</v>
      </c>
      <c r="I203" s="3"/>
    </row>
    <row r="204" spans="1:9" s="4" customFormat="1" x14ac:dyDescent="0.5">
      <c r="A204" s="8">
        <v>2024</v>
      </c>
      <c r="B204" s="9" t="s">
        <v>26</v>
      </c>
      <c r="C204" s="9" t="s">
        <v>8</v>
      </c>
      <c r="D204" s="9" t="s">
        <v>175</v>
      </c>
      <c r="E204" s="9" t="s">
        <v>230</v>
      </c>
      <c r="F204" s="10">
        <v>1390503.5665919997</v>
      </c>
      <c r="G204" s="10">
        <v>839</v>
      </c>
      <c r="H204" s="11">
        <v>334</v>
      </c>
      <c r="I204" s="3"/>
    </row>
    <row r="205" spans="1:9" s="4" customFormat="1" x14ac:dyDescent="0.5">
      <c r="A205" s="8">
        <v>2024</v>
      </c>
      <c r="B205" s="9" t="s">
        <v>21</v>
      </c>
      <c r="C205" s="9" t="s">
        <v>8</v>
      </c>
      <c r="D205" s="9" t="s">
        <v>179</v>
      </c>
      <c r="E205" s="9" t="s">
        <v>231</v>
      </c>
      <c r="F205" s="10">
        <v>1397005.6988159998</v>
      </c>
      <c r="G205" s="10">
        <v>930</v>
      </c>
      <c r="H205" s="11">
        <v>563</v>
      </c>
      <c r="I205" s="3"/>
    </row>
    <row r="206" spans="1:9" s="4" customFormat="1" x14ac:dyDescent="0.5">
      <c r="A206" s="8">
        <v>2023</v>
      </c>
      <c r="B206" s="9" t="s">
        <v>25</v>
      </c>
      <c r="C206" s="9" t="s">
        <v>8</v>
      </c>
      <c r="D206" s="9" t="s">
        <v>118</v>
      </c>
      <c r="E206" s="9" t="s">
        <v>232</v>
      </c>
      <c r="F206" s="10">
        <v>123625.60000000001</v>
      </c>
      <c r="G206" s="10">
        <v>312</v>
      </c>
      <c r="H206" s="11">
        <v>983</v>
      </c>
      <c r="I206" s="3"/>
    </row>
    <row r="207" spans="1:9" s="4" customFormat="1" x14ac:dyDescent="0.5">
      <c r="A207" s="8">
        <v>2023</v>
      </c>
      <c r="B207" s="9" t="s">
        <v>22</v>
      </c>
      <c r="C207" s="9" t="s">
        <v>8</v>
      </c>
      <c r="D207" s="9" t="s">
        <v>102</v>
      </c>
      <c r="E207" s="9" t="s">
        <v>230</v>
      </c>
      <c r="F207" s="10">
        <v>129596.32</v>
      </c>
      <c r="G207" s="10">
        <v>312</v>
      </c>
      <c r="H207" s="11">
        <v>983</v>
      </c>
      <c r="I207" s="3"/>
    </row>
    <row r="208" spans="1:9" s="4" customFormat="1" x14ac:dyDescent="0.5">
      <c r="A208" s="8">
        <v>2023</v>
      </c>
      <c r="B208" s="9" t="s">
        <v>19</v>
      </c>
      <c r="C208" s="9" t="s">
        <v>8</v>
      </c>
      <c r="D208" s="9" t="s">
        <v>184</v>
      </c>
      <c r="E208" s="9" t="s">
        <v>234</v>
      </c>
      <c r="F208" s="10">
        <v>143687.04000000001</v>
      </c>
      <c r="G208" s="10">
        <v>872</v>
      </c>
      <c r="H208" s="11">
        <v>249</v>
      </c>
      <c r="I208" s="3"/>
    </row>
    <row r="209" spans="1:9" s="4" customFormat="1" x14ac:dyDescent="0.5">
      <c r="A209" s="8">
        <v>2023</v>
      </c>
      <c r="B209" s="9" t="s">
        <v>22</v>
      </c>
      <c r="C209" s="9" t="s">
        <v>8</v>
      </c>
      <c r="D209" s="9" t="s">
        <v>185</v>
      </c>
      <c r="E209" s="9" t="s">
        <v>232</v>
      </c>
      <c r="F209" s="10">
        <v>145079.20000000001</v>
      </c>
      <c r="G209" s="10">
        <v>968</v>
      </c>
      <c r="H209" s="11">
        <v>330</v>
      </c>
      <c r="I209" s="3"/>
    </row>
    <row r="210" spans="1:9" s="4" customFormat="1" x14ac:dyDescent="0.5">
      <c r="A210" s="8">
        <v>2023</v>
      </c>
      <c r="B210" s="9" t="s">
        <v>19</v>
      </c>
      <c r="C210" s="9" t="s">
        <v>8</v>
      </c>
      <c r="D210" s="9" t="s">
        <v>186</v>
      </c>
      <c r="E210" s="9" t="s">
        <v>228</v>
      </c>
      <c r="F210" s="10">
        <v>148080.79999999999</v>
      </c>
      <c r="G210" s="10">
        <v>930</v>
      </c>
      <c r="H210" s="11">
        <v>563</v>
      </c>
      <c r="I210" s="3"/>
    </row>
    <row r="211" spans="1:9" s="4" customFormat="1" x14ac:dyDescent="0.5">
      <c r="A211" s="8">
        <v>2023</v>
      </c>
      <c r="B211" s="9" t="s">
        <v>19</v>
      </c>
      <c r="C211" s="9" t="s">
        <v>8</v>
      </c>
      <c r="D211" s="9" t="s">
        <v>187</v>
      </c>
      <c r="E211" s="9" t="s">
        <v>228</v>
      </c>
      <c r="F211" s="10">
        <v>148080.79999999999</v>
      </c>
      <c r="G211" s="10">
        <v>287</v>
      </c>
      <c r="H211" s="11">
        <v>744</v>
      </c>
      <c r="I211" s="3"/>
    </row>
    <row r="212" spans="1:9" s="4" customFormat="1" x14ac:dyDescent="0.5">
      <c r="A212" s="8">
        <v>2023</v>
      </c>
      <c r="B212" s="9" t="s">
        <v>24</v>
      </c>
      <c r="C212" s="9" t="s">
        <v>8</v>
      </c>
      <c r="D212" s="9" t="s">
        <v>71</v>
      </c>
      <c r="E212" s="9" t="s">
        <v>228</v>
      </c>
      <c r="F212" s="10">
        <v>148080.79999999999</v>
      </c>
      <c r="G212" s="10">
        <v>610</v>
      </c>
      <c r="H212" s="11">
        <v>970</v>
      </c>
      <c r="I212" s="3"/>
    </row>
    <row r="213" spans="1:9" s="4" customFormat="1" x14ac:dyDescent="0.5">
      <c r="A213" s="8">
        <v>2023</v>
      </c>
      <c r="B213" s="9" t="s">
        <v>25</v>
      </c>
      <c r="C213" s="9" t="s">
        <v>8</v>
      </c>
      <c r="D213" s="9" t="s">
        <v>100</v>
      </c>
      <c r="E213" s="9" t="s">
        <v>228</v>
      </c>
      <c r="F213" s="10">
        <v>148080.79999999999</v>
      </c>
      <c r="G213" s="10">
        <v>784</v>
      </c>
      <c r="H213" s="11">
        <v>540</v>
      </c>
      <c r="I213" s="3"/>
    </row>
    <row r="214" spans="1:9" s="4" customFormat="1" x14ac:dyDescent="0.5">
      <c r="A214" s="8">
        <v>2023</v>
      </c>
      <c r="B214" s="9" t="s">
        <v>20</v>
      </c>
      <c r="C214" s="9" t="s">
        <v>8</v>
      </c>
      <c r="D214" s="9" t="s">
        <v>43</v>
      </c>
      <c r="E214" s="9" t="s">
        <v>228</v>
      </c>
      <c r="F214" s="10">
        <v>148080.79999999999</v>
      </c>
      <c r="G214" s="10">
        <v>597</v>
      </c>
      <c r="H214" s="11">
        <v>287</v>
      </c>
      <c r="I214" s="3"/>
    </row>
    <row r="215" spans="1:9" s="4" customFormat="1" x14ac:dyDescent="0.5">
      <c r="A215" s="8">
        <v>2023</v>
      </c>
      <c r="B215" s="9" t="s">
        <v>22</v>
      </c>
      <c r="C215" s="9" t="s">
        <v>8</v>
      </c>
      <c r="D215" s="9" t="s">
        <v>94</v>
      </c>
      <c r="E215" s="9" t="s">
        <v>228</v>
      </c>
      <c r="F215" s="10">
        <v>148080.79999999999</v>
      </c>
      <c r="G215" s="10">
        <v>784</v>
      </c>
      <c r="H215" s="11">
        <v>540</v>
      </c>
      <c r="I215" s="3"/>
    </row>
    <row r="216" spans="1:9" s="4" customFormat="1" x14ac:dyDescent="0.5">
      <c r="A216" s="8">
        <v>2023</v>
      </c>
      <c r="B216" s="9" t="s">
        <v>25</v>
      </c>
      <c r="C216" s="9" t="s">
        <v>8</v>
      </c>
      <c r="D216" s="9" t="s">
        <v>110</v>
      </c>
      <c r="E216" s="9" t="s">
        <v>228</v>
      </c>
      <c r="F216" s="10">
        <v>148080.79999999999</v>
      </c>
      <c r="G216" s="10">
        <v>93</v>
      </c>
      <c r="H216" s="11">
        <v>852</v>
      </c>
      <c r="I216" s="3"/>
    </row>
    <row r="217" spans="1:9" s="4" customFormat="1" x14ac:dyDescent="0.5">
      <c r="A217" s="8">
        <v>2023</v>
      </c>
      <c r="B217" s="9" t="s">
        <v>24</v>
      </c>
      <c r="C217" s="9" t="s">
        <v>8</v>
      </c>
      <c r="D217" s="9" t="s">
        <v>160</v>
      </c>
      <c r="E217" s="9" t="s">
        <v>228</v>
      </c>
      <c r="F217" s="10">
        <v>148080.79999999999</v>
      </c>
      <c r="G217" s="10">
        <v>930</v>
      </c>
      <c r="H217" s="11">
        <v>563</v>
      </c>
      <c r="I217" s="3"/>
    </row>
    <row r="218" spans="1:9" s="4" customFormat="1" x14ac:dyDescent="0.5">
      <c r="A218" s="8">
        <v>2023</v>
      </c>
      <c r="B218" s="9" t="s">
        <v>19</v>
      </c>
      <c r="C218" s="9" t="s">
        <v>8</v>
      </c>
      <c r="D218" s="9" t="s">
        <v>42</v>
      </c>
      <c r="E218" s="9" t="s">
        <v>228</v>
      </c>
      <c r="F218" s="10">
        <v>148080.79999999999</v>
      </c>
      <c r="G218" s="10">
        <v>403</v>
      </c>
      <c r="H218" s="11">
        <v>953</v>
      </c>
      <c r="I218" s="3"/>
    </row>
    <row r="219" spans="1:9" s="4" customFormat="1" x14ac:dyDescent="0.5">
      <c r="A219" s="8">
        <v>2023</v>
      </c>
      <c r="B219" s="9" t="s">
        <v>24</v>
      </c>
      <c r="C219" s="9" t="s">
        <v>8</v>
      </c>
      <c r="D219" s="9" t="s">
        <v>188</v>
      </c>
      <c r="E219" s="9" t="s">
        <v>228</v>
      </c>
      <c r="F219" s="10">
        <v>148080.79999999999</v>
      </c>
      <c r="G219" s="10">
        <v>403</v>
      </c>
      <c r="H219" s="11">
        <v>953</v>
      </c>
      <c r="I219" s="3"/>
    </row>
    <row r="220" spans="1:9" s="4" customFormat="1" x14ac:dyDescent="0.5">
      <c r="A220" s="8">
        <v>2023</v>
      </c>
      <c r="B220" s="9" t="s">
        <v>23</v>
      </c>
      <c r="C220" s="9" t="s">
        <v>8</v>
      </c>
      <c r="D220" s="9" t="s">
        <v>76</v>
      </c>
      <c r="E220" s="9" t="s">
        <v>228</v>
      </c>
      <c r="F220" s="10">
        <v>148080.79999999999</v>
      </c>
      <c r="G220" s="10">
        <v>577</v>
      </c>
      <c r="H220" s="11">
        <v>175</v>
      </c>
      <c r="I220" s="3"/>
    </row>
    <row r="221" spans="1:9" s="4" customFormat="1" x14ac:dyDescent="0.5">
      <c r="A221" s="8">
        <v>2023</v>
      </c>
      <c r="B221" s="9" t="s">
        <v>20</v>
      </c>
      <c r="C221" s="9" t="s">
        <v>8</v>
      </c>
      <c r="D221" s="9" t="s">
        <v>159</v>
      </c>
      <c r="E221" s="9" t="s">
        <v>228</v>
      </c>
      <c r="F221" s="10">
        <v>148080.79999999999</v>
      </c>
      <c r="G221" s="10">
        <v>403</v>
      </c>
      <c r="H221" s="11">
        <v>953</v>
      </c>
      <c r="I221" s="3"/>
    </row>
    <row r="222" spans="1:9" s="4" customFormat="1" x14ac:dyDescent="0.5">
      <c r="A222" s="8">
        <v>2023</v>
      </c>
      <c r="B222" s="9" t="s">
        <v>20</v>
      </c>
      <c r="C222" s="9" t="s">
        <v>8</v>
      </c>
      <c r="D222" s="9" t="s">
        <v>72</v>
      </c>
      <c r="E222" s="9" t="s">
        <v>228</v>
      </c>
      <c r="F222" s="10">
        <v>148080.79999999999</v>
      </c>
      <c r="G222" s="10">
        <v>692</v>
      </c>
      <c r="H222" s="11">
        <v>300</v>
      </c>
      <c r="I222" s="3"/>
    </row>
    <row r="223" spans="1:9" s="4" customFormat="1" x14ac:dyDescent="0.5">
      <c r="A223" s="8">
        <v>2023</v>
      </c>
      <c r="B223" s="9" t="s">
        <v>20</v>
      </c>
      <c r="C223" s="9" t="s">
        <v>8</v>
      </c>
      <c r="D223" s="9" t="s">
        <v>49</v>
      </c>
      <c r="E223" s="9" t="s">
        <v>228</v>
      </c>
      <c r="F223" s="10">
        <v>148080.79999999999</v>
      </c>
      <c r="G223" s="10">
        <v>930</v>
      </c>
      <c r="H223" s="11">
        <v>563</v>
      </c>
      <c r="I223" s="3"/>
    </row>
    <row r="224" spans="1:9" s="4" customFormat="1" x14ac:dyDescent="0.5">
      <c r="A224" s="8">
        <v>2023</v>
      </c>
      <c r="B224" s="9" t="s">
        <v>20</v>
      </c>
      <c r="C224" s="9" t="s">
        <v>8</v>
      </c>
      <c r="D224" s="9" t="s">
        <v>52</v>
      </c>
      <c r="E224" s="9" t="s">
        <v>228</v>
      </c>
      <c r="F224" s="10">
        <v>148080.79999999999</v>
      </c>
      <c r="G224" s="10">
        <v>210</v>
      </c>
      <c r="H224" s="11">
        <v>177</v>
      </c>
      <c r="I224" s="3"/>
    </row>
    <row r="225" spans="1:9" s="4" customFormat="1" x14ac:dyDescent="0.5">
      <c r="A225" s="8">
        <v>2023</v>
      </c>
      <c r="B225" s="9" t="s">
        <v>19</v>
      </c>
      <c r="C225" s="9" t="s">
        <v>8</v>
      </c>
      <c r="D225" s="9" t="s">
        <v>189</v>
      </c>
      <c r="E225" s="9" t="s">
        <v>228</v>
      </c>
      <c r="F225" s="10">
        <v>148080.79999999999</v>
      </c>
      <c r="G225" s="10">
        <v>968</v>
      </c>
      <c r="H225" s="11">
        <v>330</v>
      </c>
      <c r="I225" s="3"/>
    </row>
    <row r="226" spans="1:9" s="4" customFormat="1" x14ac:dyDescent="0.5">
      <c r="A226" s="8">
        <v>2023</v>
      </c>
      <c r="B226" s="9" t="s">
        <v>19</v>
      </c>
      <c r="C226" s="9" t="s">
        <v>8</v>
      </c>
      <c r="D226" s="9" t="s">
        <v>162</v>
      </c>
      <c r="E226" s="9" t="s">
        <v>228</v>
      </c>
      <c r="F226" s="10">
        <v>148080.79999999999</v>
      </c>
      <c r="G226" s="10">
        <v>403</v>
      </c>
      <c r="H226" s="11">
        <v>953</v>
      </c>
      <c r="I226" s="3"/>
    </row>
    <row r="227" spans="1:9" s="4" customFormat="1" x14ac:dyDescent="0.5">
      <c r="A227" s="8">
        <v>2023</v>
      </c>
      <c r="B227" s="9" t="s">
        <v>22</v>
      </c>
      <c r="C227" s="9" t="s">
        <v>8</v>
      </c>
      <c r="D227" s="9" t="s">
        <v>172</v>
      </c>
      <c r="E227" s="9" t="s">
        <v>228</v>
      </c>
      <c r="F227" s="10">
        <v>148080.79999999999</v>
      </c>
      <c r="G227" s="10">
        <v>93</v>
      </c>
      <c r="H227" s="11">
        <v>852</v>
      </c>
      <c r="I227" s="3"/>
    </row>
    <row r="228" spans="1:9" s="4" customFormat="1" x14ac:dyDescent="0.5">
      <c r="A228" s="8">
        <v>2023</v>
      </c>
      <c r="B228" s="9" t="s">
        <v>23</v>
      </c>
      <c r="C228" s="9" t="s">
        <v>8</v>
      </c>
      <c r="D228" s="9" t="s">
        <v>28</v>
      </c>
      <c r="E228" s="9" t="s">
        <v>228</v>
      </c>
      <c r="F228" s="10">
        <v>148080.79999999999</v>
      </c>
      <c r="G228" s="10">
        <v>577</v>
      </c>
      <c r="H228" s="11">
        <v>175</v>
      </c>
      <c r="I228" s="3"/>
    </row>
    <row r="229" spans="1:9" s="4" customFormat="1" x14ac:dyDescent="0.5">
      <c r="A229" s="8">
        <v>2023</v>
      </c>
      <c r="B229" s="9" t="s">
        <v>23</v>
      </c>
      <c r="C229" s="9" t="s">
        <v>8</v>
      </c>
      <c r="D229" s="9" t="s">
        <v>89</v>
      </c>
      <c r="E229" s="9" t="s">
        <v>228</v>
      </c>
      <c r="F229" s="10">
        <v>148080.79999999999</v>
      </c>
      <c r="G229" s="10">
        <v>403</v>
      </c>
      <c r="H229" s="11">
        <v>953</v>
      </c>
      <c r="I229" s="3"/>
    </row>
    <row r="230" spans="1:9" s="4" customFormat="1" x14ac:dyDescent="0.5">
      <c r="A230" s="8">
        <v>2023</v>
      </c>
      <c r="B230" s="9" t="s">
        <v>21</v>
      </c>
      <c r="C230" s="9" t="s">
        <v>8</v>
      </c>
      <c r="D230" s="9" t="s">
        <v>38</v>
      </c>
      <c r="E230" s="9" t="s">
        <v>234</v>
      </c>
      <c r="F230" s="10">
        <v>151026.4</v>
      </c>
      <c r="G230" s="10">
        <v>839</v>
      </c>
      <c r="H230" s="11">
        <v>334</v>
      </c>
      <c r="I230" s="3"/>
    </row>
    <row r="231" spans="1:9" s="4" customFormat="1" x14ac:dyDescent="0.5">
      <c r="A231" s="8">
        <v>2023</v>
      </c>
      <c r="B231" s="9" t="s">
        <v>18</v>
      </c>
      <c r="C231" s="9" t="s">
        <v>8</v>
      </c>
      <c r="D231" s="9" t="s">
        <v>190</v>
      </c>
      <c r="E231" s="9" t="s">
        <v>233</v>
      </c>
      <c r="F231" s="10">
        <v>155182.00320000001</v>
      </c>
      <c r="G231" s="10">
        <v>312</v>
      </c>
      <c r="H231" s="11">
        <v>983</v>
      </c>
      <c r="I231" s="3"/>
    </row>
    <row r="232" spans="1:9" s="4" customFormat="1" x14ac:dyDescent="0.5">
      <c r="A232" s="8">
        <v>2023</v>
      </c>
      <c r="B232" s="9" t="s">
        <v>26</v>
      </c>
      <c r="C232" s="9" t="s">
        <v>8</v>
      </c>
      <c r="D232" s="9" t="s">
        <v>103</v>
      </c>
      <c r="E232" s="9" t="s">
        <v>236</v>
      </c>
      <c r="F232" s="10">
        <v>166970.72</v>
      </c>
      <c r="G232" s="10">
        <v>784</v>
      </c>
      <c r="H232" s="11">
        <v>540</v>
      </c>
      <c r="I232" s="3"/>
    </row>
    <row r="233" spans="1:9" s="4" customFormat="1" x14ac:dyDescent="0.5">
      <c r="A233" s="8">
        <v>2023</v>
      </c>
      <c r="B233" s="9" t="s">
        <v>19</v>
      </c>
      <c r="C233" s="9" t="s">
        <v>8</v>
      </c>
      <c r="D233" s="9" t="s">
        <v>148</v>
      </c>
      <c r="E233" s="9" t="s">
        <v>234</v>
      </c>
      <c r="F233" s="10">
        <v>167547.51999999999</v>
      </c>
      <c r="G233" s="10">
        <v>403</v>
      </c>
      <c r="H233" s="11">
        <v>953</v>
      </c>
      <c r="I233" s="3"/>
    </row>
    <row r="234" spans="1:9" s="4" customFormat="1" x14ac:dyDescent="0.5">
      <c r="A234" s="8">
        <v>2023</v>
      </c>
      <c r="B234" s="9" t="s">
        <v>18</v>
      </c>
      <c r="C234" s="9" t="s">
        <v>8</v>
      </c>
      <c r="D234" s="9" t="s">
        <v>68</v>
      </c>
      <c r="E234" s="9" t="s">
        <v>229</v>
      </c>
      <c r="F234" s="10">
        <v>170051.84</v>
      </c>
      <c r="G234" s="10">
        <v>210</v>
      </c>
      <c r="H234" s="11">
        <v>177</v>
      </c>
      <c r="I234" s="3"/>
    </row>
    <row r="235" spans="1:9" s="4" customFormat="1" x14ac:dyDescent="0.5">
      <c r="A235" s="8">
        <v>2023</v>
      </c>
      <c r="B235" s="9" t="s">
        <v>25</v>
      </c>
      <c r="C235" s="9" t="s">
        <v>8</v>
      </c>
      <c r="D235" s="9" t="s">
        <v>108</v>
      </c>
      <c r="E235" s="9" t="s">
        <v>235</v>
      </c>
      <c r="F235" s="10">
        <v>170291.52</v>
      </c>
      <c r="G235" s="10">
        <v>839</v>
      </c>
      <c r="H235" s="11">
        <v>983</v>
      </c>
      <c r="I235" s="3"/>
    </row>
    <row r="236" spans="1:9" s="4" customFormat="1" x14ac:dyDescent="0.5">
      <c r="A236" s="8">
        <v>2023</v>
      </c>
      <c r="B236" s="9" t="s">
        <v>20</v>
      </c>
      <c r="C236" s="9" t="s">
        <v>8</v>
      </c>
      <c r="D236" s="9" t="s">
        <v>40</v>
      </c>
      <c r="E236" s="9" t="s">
        <v>230</v>
      </c>
      <c r="F236" s="10">
        <v>180951.3216</v>
      </c>
      <c r="G236" s="10">
        <v>795</v>
      </c>
      <c r="H236" s="11">
        <v>469</v>
      </c>
      <c r="I236" s="3"/>
    </row>
    <row r="237" spans="1:9" s="4" customFormat="1" x14ac:dyDescent="0.5">
      <c r="A237" s="8">
        <v>2023</v>
      </c>
      <c r="B237" s="9" t="s">
        <v>23</v>
      </c>
      <c r="C237" s="9" t="s">
        <v>8</v>
      </c>
      <c r="D237" s="9" t="s">
        <v>151</v>
      </c>
      <c r="E237" s="9" t="s">
        <v>233</v>
      </c>
      <c r="F237" s="10">
        <v>185506.72</v>
      </c>
      <c r="G237" s="10">
        <v>930</v>
      </c>
      <c r="H237" s="11">
        <v>563</v>
      </c>
      <c r="I237" s="3"/>
    </row>
    <row r="238" spans="1:9" s="4" customFormat="1" x14ac:dyDescent="0.5">
      <c r="A238" s="8">
        <v>2023</v>
      </c>
      <c r="B238" s="9" t="s">
        <v>24</v>
      </c>
      <c r="C238" s="9" t="s">
        <v>8</v>
      </c>
      <c r="D238" s="9" t="s">
        <v>191</v>
      </c>
      <c r="E238" s="9" t="s">
        <v>233</v>
      </c>
      <c r="F238" s="10">
        <v>185514.56</v>
      </c>
      <c r="G238" s="10">
        <v>413</v>
      </c>
      <c r="H238" s="11">
        <v>930</v>
      </c>
      <c r="I238" s="3"/>
    </row>
    <row r="239" spans="1:9" s="4" customFormat="1" x14ac:dyDescent="0.5">
      <c r="A239" s="8">
        <v>2023</v>
      </c>
      <c r="B239" s="9" t="s">
        <v>24</v>
      </c>
      <c r="C239" s="9" t="s">
        <v>8</v>
      </c>
      <c r="D239" s="9" t="s">
        <v>166</v>
      </c>
      <c r="E239" s="9" t="s">
        <v>233</v>
      </c>
      <c r="F239" s="10">
        <v>186455.36</v>
      </c>
      <c r="G239" s="10">
        <v>168</v>
      </c>
      <c r="H239" s="11">
        <v>97</v>
      </c>
      <c r="I239" s="3"/>
    </row>
    <row r="240" spans="1:9" s="4" customFormat="1" x14ac:dyDescent="0.5">
      <c r="A240" s="8">
        <v>2023</v>
      </c>
      <c r="B240" s="9" t="s">
        <v>19</v>
      </c>
      <c r="C240" s="9" t="s">
        <v>8</v>
      </c>
      <c r="D240" s="9" t="s">
        <v>87</v>
      </c>
      <c r="E240" s="9" t="s">
        <v>230</v>
      </c>
      <c r="F240" s="10">
        <v>198951.2</v>
      </c>
      <c r="G240" s="10">
        <v>930</v>
      </c>
      <c r="H240" s="11">
        <v>563</v>
      </c>
      <c r="I240" s="3"/>
    </row>
    <row r="241" spans="1:9" s="4" customFormat="1" x14ac:dyDescent="0.5">
      <c r="A241" s="8">
        <v>2023</v>
      </c>
      <c r="B241" s="9" t="s">
        <v>24</v>
      </c>
      <c r="C241" s="9" t="s">
        <v>8</v>
      </c>
      <c r="D241" s="9" t="s">
        <v>29</v>
      </c>
      <c r="E241" s="9" t="s">
        <v>233</v>
      </c>
      <c r="F241" s="10">
        <v>199691.51999999999</v>
      </c>
      <c r="G241" s="10">
        <v>692</v>
      </c>
      <c r="H241" s="11">
        <v>300</v>
      </c>
      <c r="I241" s="3"/>
    </row>
    <row r="242" spans="1:9" s="4" customFormat="1" x14ac:dyDescent="0.5">
      <c r="A242" s="8">
        <v>2023</v>
      </c>
      <c r="B242" s="9" t="s">
        <v>27</v>
      </c>
      <c r="C242" s="9" t="s">
        <v>8</v>
      </c>
      <c r="D242" s="9" t="s">
        <v>44</v>
      </c>
      <c r="E242" s="9" t="s">
        <v>231</v>
      </c>
      <c r="F242" s="10">
        <v>200347.25760000001</v>
      </c>
      <c r="G242" s="10">
        <v>692</v>
      </c>
      <c r="H242" s="11">
        <v>300</v>
      </c>
      <c r="I242" s="3"/>
    </row>
    <row r="243" spans="1:9" s="4" customFormat="1" x14ac:dyDescent="0.5">
      <c r="A243" s="8">
        <v>2023</v>
      </c>
      <c r="B243" s="9" t="s">
        <v>20</v>
      </c>
      <c r="C243" s="9" t="s">
        <v>8</v>
      </c>
      <c r="D243" s="9" t="s">
        <v>45</v>
      </c>
      <c r="E243" s="9" t="s">
        <v>235</v>
      </c>
      <c r="F243" s="10">
        <v>200355.7248</v>
      </c>
      <c r="G243" s="10">
        <v>287</v>
      </c>
      <c r="H243" s="11">
        <v>744</v>
      </c>
      <c r="I243" s="3"/>
    </row>
    <row r="244" spans="1:9" s="4" customFormat="1" x14ac:dyDescent="0.5">
      <c r="A244" s="8">
        <v>2023</v>
      </c>
      <c r="B244" s="9" t="s">
        <v>20</v>
      </c>
      <c r="C244" s="9" t="s">
        <v>8</v>
      </c>
      <c r="D244" s="9" t="s">
        <v>98</v>
      </c>
      <c r="E244" s="9" t="s">
        <v>235</v>
      </c>
      <c r="F244" s="10">
        <v>204794.23999999999</v>
      </c>
      <c r="G244" s="10">
        <v>210</v>
      </c>
      <c r="H244" s="11">
        <v>177</v>
      </c>
      <c r="I244" s="3"/>
    </row>
    <row r="245" spans="1:9" s="4" customFormat="1" x14ac:dyDescent="0.5">
      <c r="A245" s="8">
        <v>2023</v>
      </c>
      <c r="B245" s="9" t="s">
        <v>25</v>
      </c>
      <c r="C245" s="9" t="s">
        <v>8</v>
      </c>
      <c r="D245" s="9" t="s">
        <v>161</v>
      </c>
      <c r="E245" s="9" t="s">
        <v>235</v>
      </c>
      <c r="F245" s="10">
        <v>206253.6</v>
      </c>
      <c r="G245" s="10">
        <v>839</v>
      </c>
      <c r="H245" s="11">
        <v>334</v>
      </c>
      <c r="I245" s="3"/>
    </row>
    <row r="246" spans="1:9" s="4" customFormat="1" x14ac:dyDescent="0.5">
      <c r="A246" s="8">
        <v>2023</v>
      </c>
      <c r="B246" s="9" t="s">
        <v>18</v>
      </c>
      <c r="C246" s="9" t="s">
        <v>8</v>
      </c>
      <c r="D246" s="9" t="s">
        <v>97</v>
      </c>
      <c r="E246" s="9" t="s">
        <v>231</v>
      </c>
      <c r="F246" s="10">
        <v>209059.20000000001</v>
      </c>
      <c r="G246" s="10">
        <v>568</v>
      </c>
      <c r="H246" s="11">
        <v>505</v>
      </c>
      <c r="I246" s="3"/>
    </row>
    <row r="247" spans="1:9" s="4" customFormat="1" x14ac:dyDescent="0.5">
      <c r="A247" s="8">
        <v>2023</v>
      </c>
      <c r="B247" s="9" t="s">
        <v>20</v>
      </c>
      <c r="C247" s="9" t="s">
        <v>8</v>
      </c>
      <c r="D247" s="9" t="s">
        <v>47</v>
      </c>
      <c r="E247" s="9" t="s">
        <v>235</v>
      </c>
      <c r="F247" s="10">
        <v>214867.296</v>
      </c>
      <c r="G247" s="10">
        <v>287</v>
      </c>
      <c r="H247" s="11">
        <v>744</v>
      </c>
      <c r="I247" s="3"/>
    </row>
    <row r="248" spans="1:9" s="4" customFormat="1" x14ac:dyDescent="0.5">
      <c r="A248" s="8">
        <v>2023</v>
      </c>
      <c r="B248" s="9" t="s">
        <v>24</v>
      </c>
      <c r="C248" s="9" t="s">
        <v>8</v>
      </c>
      <c r="D248" s="9" t="s">
        <v>35</v>
      </c>
      <c r="E248" s="9" t="s">
        <v>232</v>
      </c>
      <c r="F248" s="10">
        <v>219683.52</v>
      </c>
      <c r="G248" s="10">
        <v>610</v>
      </c>
      <c r="H248" s="11">
        <v>970</v>
      </c>
      <c r="I248" s="3"/>
    </row>
    <row r="249" spans="1:9" s="4" customFormat="1" x14ac:dyDescent="0.5">
      <c r="A249" s="8">
        <v>2023</v>
      </c>
      <c r="B249" s="9" t="s">
        <v>26</v>
      </c>
      <c r="C249" s="9" t="s">
        <v>8</v>
      </c>
      <c r="D249" s="9" t="s">
        <v>50</v>
      </c>
      <c r="E249" s="9" t="s">
        <v>229</v>
      </c>
      <c r="F249" s="10">
        <v>222753.88800000001</v>
      </c>
      <c r="G249" s="10">
        <v>577</v>
      </c>
      <c r="H249" s="11">
        <v>175</v>
      </c>
      <c r="I249" s="3"/>
    </row>
    <row r="250" spans="1:9" s="4" customFormat="1" x14ac:dyDescent="0.5">
      <c r="A250" s="8">
        <v>2023</v>
      </c>
      <c r="B250" s="9" t="s">
        <v>22</v>
      </c>
      <c r="C250" s="9" t="s">
        <v>8</v>
      </c>
      <c r="D250" s="9" t="s">
        <v>136</v>
      </c>
      <c r="E250" s="9" t="s">
        <v>231</v>
      </c>
      <c r="F250" s="10">
        <v>225676.64</v>
      </c>
      <c r="G250" s="10">
        <v>795</v>
      </c>
      <c r="H250" s="11">
        <v>469</v>
      </c>
      <c r="I250" s="3"/>
    </row>
    <row r="251" spans="1:9" s="4" customFormat="1" x14ac:dyDescent="0.5">
      <c r="A251" s="8">
        <v>2023</v>
      </c>
      <c r="B251" s="9" t="s">
        <v>18</v>
      </c>
      <c r="C251" s="9" t="s">
        <v>8</v>
      </c>
      <c r="D251" s="9" t="s">
        <v>192</v>
      </c>
      <c r="E251" s="9" t="s">
        <v>230</v>
      </c>
      <c r="F251" s="10">
        <v>225783.93600000002</v>
      </c>
      <c r="G251" s="10">
        <v>749</v>
      </c>
      <c r="H251" s="11">
        <v>648</v>
      </c>
      <c r="I251" s="3"/>
    </row>
    <row r="252" spans="1:9" s="4" customFormat="1" x14ac:dyDescent="0.5">
      <c r="A252" s="8">
        <v>2023</v>
      </c>
      <c r="B252" s="9" t="s">
        <v>24</v>
      </c>
      <c r="C252" s="9" t="s">
        <v>8</v>
      </c>
      <c r="D252" s="9" t="s">
        <v>158</v>
      </c>
      <c r="E252" s="9" t="s">
        <v>232</v>
      </c>
      <c r="F252" s="10">
        <v>230400.8</v>
      </c>
      <c r="G252" s="10">
        <v>287</v>
      </c>
      <c r="H252" s="11">
        <v>744</v>
      </c>
      <c r="I252" s="3"/>
    </row>
    <row r="253" spans="1:9" s="4" customFormat="1" x14ac:dyDescent="0.5">
      <c r="A253" s="8">
        <v>2023</v>
      </c>
      <c r="B253" s="9" t="s">
        <v>25</v>
      </c>
      <c r="C253" s="9" t="s">
        <v>8</v>
      </c>
      <c r="D253" s="9" t="s">
        <v>77</v>
      </c>
      <c r="E253" s="9" t="s">
        <v>234</v>
      </c>
      <c r="F253" s="10">
        <v>234766.56</v>
      </c>
      <c r="G253" s="10">
        <v>968</v>
      </c>
      <c r="H253" s="11">
        <v>330</v>
      </c>
      <c r="I253" s="3"/>
    </row>
    <row r="254" spans="1:9" s="4" customFormat="1" x14ac:dyDescent="0.5">
      <c r="A254" s="8">
        <v>2023</v>
      </c>
      <c r="B254" s="9" t="s">
        <v>25</v>
      </c>
      <c r="C254" s="9" t="s">
        <v>8</v>
      </c>
      <c r="D254" s="9" t="s">
        <v>55</v>
      </c>
      <c r="E254" s="9" t="s">
        <v>231</v>
      </c>
      <c r="F254" s="10">
        <v>237258.2016</v>
      </c>
      <c r="G254" s="10">
        <v>784</v>
      </c>
      <c r="H254" s="11">
        <v>540</v>
      </c>
      <c r="I254" s="3"/>
    </row>
    <row r="255" spans="1:9" s="4" customFormat="1" x14ac:dyDescent="0.5">
      <c r="A255" s="8">
        <v>2023</v>
      </c>
      <c r="B255" s="9" t="s">
        <v>25</v>
      </c>
      <c r="C255" s="9" t="s">
        <v>8</v>
      </c>
      <c r="D255" s="9" t="s">
        <v>126</v>
      </c>
      <c r="E255" s="9" t="s">
        <v>231</v>
      </c>
      <c r="F255" s="10">
        <v>238955.36</v>
      </c>
      <c r="G255" s="10">
        <v>968</v>
      </c>
      <c r="H255" s="11">
        <v>330</v>
      </c>
      <c r="I255" s="3"/>
    </row>
    <row r="256" spans="1:9" s="4" customFormat="1" x14ac:dyDescent="0.5">
      <c r="A256" s="8">
        <v>2023</v>
      </c>
      <c r="B256" s="9" t="s">
        <v>25</v>
      </c>
      <c r="C256" s="9" t="s">
        <v>8</v>
      </c>
      <c r="D256" s="9" t="s">
        <v>30</v>
      </c>
      <c r="E256" s="9" t="s">
        <v>229</v>
      </c>
      <c r="F256" s="10">
        <v>244617.408</v>
      </c>
      <c r="G256" s="10">
        <v>413</v>
      </c>
      <c r="H256" s="11">
        <v>930</v>
      </c>
      <c r="I256" s="3"/>
    </row>
    <row r="257" spans="1:9" s="4" customFormat="1" x14ac:dyDescent="0.5">
      <c r="A257" s="8">
        <v>2023</v>
      </c>
      <c r="B257" s="9" t="s">
        <v>27</v>
      </c>
      <c r="C257" s="9" t="s">
        <v>8</v>
      </c>
      <c r="D257" s="9" t="s">
        <v>48</v>
      </c>
      <c r="E257" s="9" t="s">
        <v>233</v>
      </c>
      <c r="F257" s="10">
        <v>250257.28</v>
      </c>
      <c r="G257" s="10">
        <v>168</v>
      </c>
      <c r="H257" s="11">
        <v>97</v>
      </c>
      <c r="I257" s="3"/>
    </row>
    <row r="258" spans="1:9" s="4" customFormat="1" x14ac:dyDescent="0.5">
      <c r="A258" s="8">
        <v>2023</v>
      </c>
      <c r="B258" s="9" t="s">
        <v>18</v>
      </c>
      <c r="C258" s="9" t="s">
        <v>8</v>
      </c>
      <c r="D258" s="9" t="s">
        <v>58</v>
      </c>
      <c r="E258" s="9" t="s">
        <v>232</v>
      </c>
      <c r="F258" s="10">
        <v>253547.8848</v>
      </c>
      <c r="G258" s="10">
        <v>403</v>
      </c>
      <c r="H258" s="11">
        <v>953</v>
      </c>
      <c r="I258" s="3"/>
    </row>
    <row r="259" spans="1:9" s="4" customFormat="1" x14ac:dyDescent="0.5">
      <c r="A259" s="8">
        <v>2023</v>
      </c>
      <c r="B259" s="9" t="s">
        <v>24</v>
      </c>
      <c r="C259" s="9" t="s">
        <v>8</v>
      </c>
      <c r="D259" s="9" t="s">
        <v>174</v>
      </c>
      <c r="E259" s="9" t="s">
        <v>230</v>
      </c>
      <c r="F259" s="10">
        <v>255250.24</v>
      </c>
      <c r="G259" s="10">
        <v>610</v>
      </c>
      <c r="H259" s="11">
        <v>970</v>
      </c>
      <c r="I259" s="3"/>
    </row>
    <row r="260" spans="1:9" s="4" customFormat="1" x14ac:dyDescent="0.5">
      <c r="A260" s="8">
        <v>2023</v>
      </c>
      <c r="B260" s="9" t="s">
        <v>18</v>
      </c>
      <c r="C260" s="9" t="s">
        <v>8</v>
      </c>
      <c r="D260" s="9" t="s">
        <v>59</v>
      </c>
      <c r="E260" s="9" t="s">
        <v>231</v>
      </c>
      <c r="F260" s="10">
        <v>258071.78879999998</v>
      </c>
      <c r="G260" s="10">
        <v>287</v>
      </c>
      <c r="H260" s="11">
        <v>744</v>
      </c>
      <c r="I260" s="3"/>
    </row>
    <row r="261" spans="1:9" s="4" customFormat="1" x14ac:dyDescent="0.5">
      <c r="A261" s="8">
        <v>2023</v>
      </c>
      <c r="B261" s="9" t="s">
        <v>24</v>
      </c>
      <c r="C261" s="9" t="s">
        <v>8</v>
      </c>
      <c r="D261" s="9" t="s">
        <v>135</v>
      </c>
      <c r="E261" s="9" t="s">
        <v>232</v>
      </c>
      <c r="F261" s="10">
        <v>263220.15999999997</v>
      </c>
      <c r="G261" s="10">
        <v>287</v>
      </c>
      <c r="H261" s="11">
        <v>744</v>
      </c>
      <c r="I261" s="3"/>
    </row>
    <row r="262" spans="1:9" s="4" customFormat="1" x14ac:dyDescent="0.5">
      <c r="A262" s="8">
        <v>2023</v>
      </c>
      <c r="B262" s="9" t="s">
        <v>22</v>
      </c>
      <c r="C262" s="9" t="s">
        <v>8</v>
      </c>
      <c r="D262" s="9" t="s">
        <v>61</v>
      </c>
      <c r="E262" s="9" t="s">
        <v>234</v>
      </c>
      <c r="F262" s="10">
        <v>270277.86239999998</v>
      </c>
      <c r="G262" s="10">
        <v>784</v>
      </c>
      <c r="H262" s="11">
        <v>540</v>
      </c>
      <c r="I262" s="3"/>
    </row>
    <row r="263" spans="1:9" s="4" customFormat="1" x14ac:dyDescent="0.5">
      <c r="A263" s="8">
        <v>2023</v>
      </c>
      <c r="B263" s="9" t="s">
        <v>20</v>
      </c>
      <c r="C263" s="9" t="s">
        <v>8</v>
      </c>
      <c r="D263" s="9" t="s">
        <v>93</v>
      </c>
      <c r="E263" s="9" t="s">
        <v>234</v>
      </c>
      <c r="F263" s="10">
        <v>275480.8</v>
      </c>
      <c r="G263" s="10">
        <v>597</v>
      </c>
      <c r="H263" s="11">
        <v>287</v>
      </c>
      <c r="I263" s="3"/>
    </row>
    <row r="264" spans="1:9" s="4" customFormat="1" x14ac:dyDescent="0.5">
      <c r="A264" s="8">
        <v>2023</v>
      </c>
      <c r="B264" s="9" t="s">
        <v>27</v>
      </c>
      <c r="C264" s="9" t="s">
        <v>8</v>
      </c>
      <c r="D264" s="9" t="s">
        <v>62</v>
      </c>
      <c r="E264" s="9" t="s">
        <v>232</v>
      </c>
      <c r="F264" s="10">
        <v>275670.25919999997</v>
      </c>
      <c r="G264" s="10">
        <v>749</v>
      </c>
      <c r="H264" s="11">
        <v>648</v>
      </c>
      <c r="I264" s="3"/>
    </row>
    <row r="265" spans="1:9" s="4" customFormat="1" x14ac:dyDescent="0.5">
      <c r="A265" s="8">
        <v>2023</v>
      </c>
      <c r="B265" s="9" t="s">
        <v>18</v>
      </c>
      <c r="C265" s="9" t="s">
        <v>8</v>
      </c>
      <c r="D265" s="9" t="s">
        <v>63</v>
      </c>
      <c r="E265" s="9" t="s">
        <v>229</v>
      </c>
      <c r="F265" s="10">
        <v>284277.77279999998</v>
      </c>
      <c r="G265" s="10">
        <v>839</v>
      </c>
      <c r="H265" s="11">
        <v>983</v>
      </c>
      <c r="I265" s="3"/>
    </row>
    <row r="266" spans="1:9" s="4" customFormat="1" x14ac:dyDescent="0.5">
      <c r="A266" s="8">
        <v>2023</v>
      </c>
      <c r="B266" s="9" t="s">
        <v>22</v>
      </c>
      <c r="C266" s="9" t="s">
        <v>8</v>
      </c>
      <c r="D266" s="9" t="s">
        <v>147</v>
      </c>
      <c r="E266" s="9" t="s">
        <v>234</v>
      </c>
      <c r="F266" s="10">
        <v>306653.76</v>
      </c>
      <c r="G266" s="10">
        <v>968</v>
      </c>
      <c r="H266" s="11">
        <v>330</v>
      </c>
      <c r="I266" s="3"/>
    </row>
    <row r="267" spans="1:9" s="4" customFormat="1" x14ac:dyDescent="0.5">
      <c r="A267" s="8">
        <v>2023</v>
      </c>
      <c r="B267" s="9" t="s">
        <v>18</v>
      </c>
      <c r="C267" s="9" t="s">
        <v>8</v>
      </c>
      <c r="D267" s="9" t="s">
        <v>134</v>
      </c>
      <c r="E267" s="9" t="s">
        <v>232</v>
      </c>
      <c r="F267" s="10">
        <v>306653.76</v>
      </c>
      <c r="G267" s="10">
        <v>93</v>
      </c>
      <c r="H267" s="11">
        <v>852</v>
      </c>
      <c r="I267" s="3"/>
    </row>
    <row r="268" spans="1:9" s="4" customFormat="1" x14ac:dyDescent="0.5">
      <c r="A268" s="8">
        <v>2023</v>
      </c>
      <c r="B268" s="9" t="s">
        <v>27</v>
      </c>
      <c r="C268" s="9" t="s">
        <v>8</v>
      </c>
      <c r="D268" s="9" t="s">
        <v>70</v>
      </c>
      <c r="E268" s="9" t="s">
        <v>231</v>
      </c>
      <c r="F268" s="10">
        <v>318852.9792</v>
      </c>
      <c r="G268" s="10">
        <v>692</v>
      </c>
      <c r="H268" s="11">
        <v>300</v>
      </c>
      <c r="I268" s="3"/>
    </row>
    <row r="269" spans="1:9" s="4" customFormat="1" x14ac:dyDescent="0.5">
      <c r="A269" s="8">
        <v>2023</v>
      </c>
      <c r="B269" s="9" t="s">
        <v>23</v>
      </c>
      <c r="C269" s="9" t="s">
        <v>8</v>
      </c>
      <c r="D269" s="9" t="s">
        <v>193</v>
      </c>
      <c r="E269" s="9" t="s">
        <v>232</v>
      </c>
      <c r="F269" s="10">
        <v>331186.06080000004</v>
      </c>
      <c r="G269" s="10">
        <v>312</v>
      </c>
      <c r="H269" s="11">
        <v>983</v>
      </c>
      <c r="I269" s="3"/>
    </row>
    <row r="270" spans="1:9" s="4" customFormat="1" x14ac:dyDescent="0.5">
      <c r="A270" s="8">
        <v>2023</v>
      </c>
      <c r="B270" s="9" t="s">
        <v>19</v>
      </c>
      <c r="C270" s="9" t="s">
        <v>8</v>
      </c>
      <c r="D270" s="9" t="s">
        <v>73</v>
      </c>
      <c r="E270" s="9" t="s">
        <v>231</v>
      </c>
      <c r="F270" s="10">
        <v>331186.06080000004</v>
      </c>
      <c r="G270" s="10">
        <v>93</v>
      </c>
      <c r="H270" s="11">
        <v>852</v>
      </c>
      <c r="I270" s="3"/>
    </row>
    <row r="271" spans="1:9" s="4" customFormat="1" x14ac:dyDescent="0.5">
      <c r="A271" s="8">
        <v>2023</v>
      </c>
      <c r="B271" s="9" t="s">
        <v>25</v>
      </c>
      <c r="C271" s="9" t="s">
        <v>8</v>
      </c>
      <c r="D271" s="9" t="s">
        <v>78</v>
      </c>
      <c r="E271" s="9" t="s">
        <v>232</v>
      </c>
      <c r="F271" s="10">
        <v>340865.28000000003</v>
      </c>
      <c r="G271" s="10">
        <v>968</v>
      </c>
      <c r="H271" s="11">
        <v>330</v>
      </c>
      <c r="I271" s="3"/>
    </row>
    <row r="272" spans="1:9" s="4" customFormat="1" x14ac:dyDescent="0.5">
      <c r="A272" s="8">
        <v>2023</v>
      </c>
      <c r="B272" s="9" t="s">
        <v>26</v>
      </c>
      <c r="C272" s="9" t="s">
        <v>8</v>
      </c>
      <c r="D272" s="9" t="s">
        <v>85</v>
      </c>
      <c r="E272" s="9" t="s">
        <v>233</v>
      </c>
      <c r="F272" s="10">
        <v>343524.16</v>
      </c>
      <c r="G272" s="10">
        <v>749</v>
      </c>
      <c r="H272" s="11">
        <v>648</v>
      </c>
      <c r="I272" s="3"/>
    </row>
    <row r="273" spans="1:9" s="4" customFormat="1" x14ac:dyDescent="0.5">
      <c r="A273" s="8">
        <v>2023</v>
      </c>
      <c r="B273" s="9" t="s">
        <v>24</v>
      </c>
      <c r="C273" s="9" t="s">
        <v>8</v>
      </c>
      <c r="D273" s="9" t="s">
        <v>91</v>
      </c>
      <c r="E273" s="9" t="s">
        <v>234</v>
      </c>
      <c r="F273" s="10">
        <v>352427.04</v>
      </c>
      <c r="G273" s="10">
        <v>413</v>
      </c>
      <c r="H273" s="11">
        <v>930</v>
      </c>
      <c r="I273" s="3"/>
    </row>
    <row r="274" spans="1:9" s="4" customFormat="1" x14ac:dyDescent="0.5">
      <c r="A274" s="8">
        <v>2023</v>
      </c>
      <c r="B274" s="9" t="s">
        <v>24</v>
      </c>
      <c r="C274" s="9" t="s">
        <v>8</v>
      </c>
      <c r="D274" s="9" t="s">
        <v>171</v>
      </c>
      <c r="E274" s="9" t="s">
        <v>236</v>
      </c>
      <c r="F274" s="10">
        <v>356908.16</v>
      </c>
      <c r="G274" s="10">
        <v>930</v>
      </c>
      <c r="H274" s="11">
        <v>563</v>
      </c>
      <c r="I274" s="3"/>
    </row>
    <row r="275" spans="1:9" s="4" customFormat="1" x14ac:dyDescent="0.5">
      <c r="A275" s="8">
        <v>2023</v>
      </c>
      <c r="B275" s="9" t="s">
        <v>19</v>
      </c>
      <c r="C275" s="9" t="s">
        <v>8</v>
      </c>
      <c r="D275" s="9" t="s">
        <v>86</v>
      </c>
      <c r="E275" s="9" t="s">
        <v>234</v>
      </c>
      <c r="F275" s="10">
        <v>367728.48</v>
      </c>
      <c r="G275" s="10">
        <v>168</v>
      </c>
      <c r="H275" s="11">
        <v>97</v>
      </c>
      <c r="I275" s="3"/>
    </row>
    <row r="276" spans="1:9" s="4" customFormat="1" x14ac:dyDescent="0.5">
      <c r="A276" s="8">
        <v>2023</v>
      </c>
      <c r="B276" s="9" t="s">
        <v>25</v>
      </c>
      <c r="C276" s="9" t="s">
        <v>8</v>
      </c>
      <c r="D276" s="9" t="s">
        <v>75</v>
      </c>
      <c r="E276" s="9" t="s">
        <v>230</v>
      </c>
      <c r="F276" s="10">
        <v>368134.50240000006</v>
      </c>
      <c r="G276" s="10">
        <v>93</v>
      </c>
      <c r="H276" s="11">
        <v>852</v>
      </c>
      <c r="I276" s="3"/>
    </row>
    <row r="277" spans="1:9" s="4" customFormat="1" x14ac:dyDescent="0.5">
      <c r="A277" s="8">
        <v>2023</v>
      </c>
      <c r="B277" s="9" t="s">
        <v>25</v>
      </c>
      <c r="C277" s="9" t="s">
        <v>8</v>
      </c>
      <c r="D277" s="9" t="s">
        <v>79</v>
      </c>
      <c r="E277" s="9" t="s">
        <v>234</v>
      </c>
      <c r="F277" s="10">
        <v>396397.12</v>
      </c>
      <c r="G277" s="10">
        <v>839</v>
      </c>
      <c r="H277" s="11">
        <v>334</v>
      </c>
      <c r="I277" s="3"/>
    </row>
    <row r="278" spans="1:9" s="4" customFormat="1" x14ac:dyDescent="0.5">
      <c r="A278" s="8">
        <v>2023</v>
      </c>
      <c r="B278" s="9" t="s">
        <v>25</v>
      </c>
      <c r="C278" s="9" t="s">
        <v>8</v>
      </c>
      <c r="D278" s="9" t="s">
        <v>69</v>
      </c>
      <c r="E278" s="9" t="s">
        <v>231</v>
      </c>
      <c r="F278" s="10">
        <v>396397.12</v>
      </c>
      <c r="G278" s="10">
        <v>968</v>
      </c>
      <c r="H278" s="11">
        <v>330</v>
      </c>
      <c r="I278" s="3"/>
    </row>
    <row r="279" spans="1:9" s="4" customFormat="1" x14ac:dyDescent="0.5">
      <c r="A279" s="8">
        <v>2023</v>
      </c>
      <c r="B279" s="9" t="s">
        <v>22</v>
      </c>
      <c r="C279" s="9" t="s">
        <v>8</v>
      </c>
      <c r="D279" s="9" t="s">
        <v>104</v>
      </c>
      <c r="E279" s="9" t="s">
        <v>228</v>
      </c>
      <c r="F279" s="10">
        <v>396397.12</v>
      </c>
      <c r="G279" s="10">
        <v>210</v>
      </c>
      <c r="H279" s="11">
        <v>177</v>
      </c>
      <c r="I279" s="3"/>
    </row>
    <row r="280" spans="1:9" s="4" customFormat="1" x14ac:dyDescent="0.5">
      <c r="A280" s="8">
        <v>2023</v>
      </c>
      <c r="B280" s="9" t="s">
        <v>25</v>
      </c>
      <c r="C280" s="9" t="s">
        <v>8</v>
      </c>
      <c r="D280" s="9" t="s">
        <v>109</v>
      </c>
      <c r="E280" s="9" t="s">
        <v>228</v>
      </c>
      <c r="F280" s="10">
        <v>405587.83999999997</v>
      </c>
      <c r="G280" s="10">
        <v>839</v>
      </c>
      <c r="H280" s="11">
        <v>334</v>
      </c>
      <c r="I280" s="3"/>
    </row>
    <row r="281" spans="1:9" s="4" customFormat="1" x14ac:dyDescent="0.5">
      <c r="A281" s="8">
        <v>2023</v>
      </c>
      <c r="B281" s="9" t="s">
        <v>22</v>
      </c>
      <c r="C281" s="9" t="s">
        <v>8</v>
      </c>
      <c r="D281" s="9" t="s">
        <v>84</v>
      </c>
      <c r="E281" s="9" t="s">
        <v>234</v>
      </c>
      <c r="F281" s="10">
        <v>419813.45279999997</v>
      </c>
      <c r="G281" s="10">
        <v>784</v>
      </c>
      <c r="H281" s="11">
        <v>540</v>
      </c>
      <c r="I281" s="3"/>
    </row>
    <row r="282" spans="1:9" s="4" customFormat="1" x14ac:dyDescent="0.5">
      <c r="A282" s="8">
        <v>2023</v>
      </c>
      <c r="B282" s="9" t="s">
        <v>22</v>
      </c>
      <c r="C282" s="9" t="s">
        <v>8</v>
      </c>
      <c r="D282" s="9" t="s">
        <v>176</v>
      </c>
      <c r="E282" s="9" t="s">
        <v>230</v>
      </c>
      <c r="F282" s="10">
        <v>421710.24</v>
      </c>
      <c r="G282" s="10">
        <v>312</v>
      </c>
      <c r="H282" s="11">
        <v>983</v>
      </c>
      <c r="I282" s="3"/>
    </row>
    <row r="283" spans="1:9" s="4" customFormat="1" x14ac:dyDescent="0.5">
      <c r="A283" s="8">
        <v>2023</v>
      </c>
      <c r="B283" s="9" t="s">
        <v>23</v>
      </c>
      <c r="C283" s="9" t="s">
        <v>8</v>
      </c>
      <c r="D283" s="9" t="s">
        <v>194</v>
      </c>
      <c r="E283" s="9" t="s">
        <v>231</v>
      </c>
      <c r="F283" s="10">
        <v>428108.88959999999</v>
      </c>
      <c r="G283" s="10">
        <v>784</v>
      </c>
      <c r="H283" s="11">
        <v>540</v>
      </c>
      <c r="I283" s="3"/>
    </row>
    <row r="284" spans="1:9" s="4" customFormat="1" x14ac:dyDescent="0.5">
      <c r="A284" s="8">
        <v>2023</v>
      </c>
      <c r="B284" s="9" t="s">
        <v>19</v>
      </c>
      <c r="C284" s="9" t="s">
        <v>8</v>
      </c>
      <c r="D284" s="9" t="s">
        <v>138</v>
      </c>
      <c r="E284" s="9" t="s">
        <v>234</v>
      </c>
      <c r="F284" s="10">
        <v>439391.68</v>
      </c>
      <c r="G284" s="10">
        <v>872</v>
      </c>
      <c r="H284" s="11">
        <v>249</v>
      </c>
      <c r="I284" s="3"/>
    </row>
    <row r="285" spans="1:9" s="4" customFormat="1" x14ac:dyDescent="0.5">
      <c r="A285" s="8">
        <v>2023</v>
      </c>
      <c r="B285" s="9" t="s">
        <v>25</v>
      </c>
      <c r="C285" s="9" t="s">
        <v>8</v>
      </c>
      <c r="D285" s="9" t="s">
        <v>106</v>
      </c>
      <c r="E285" s="9" t="s">
        <v>230</v>
      </c>
      <c r="F285" s="10">
        <v>443828</v>
      </c>
      <c r="G285" s="10">
        <v>413</v>
      </c>
      <c r="H285" s="11">
        <v>930</v>
      </c>
      <c r="I285" s="3"/>
    </row>
    <row r="286" spans="1:9" s="4" customFormat="1" x14ac:dyDescent="0.5">
      <c r="A286" s="8">
        <v>2023</v>
      </c>
      <c r="B286" s="9" t="s">
        <v>24</v>
      </c>
      <c r="C286" s="9" t="s">
        <v>8</v>
      </c>
      <c r="D286" s="9" t="s">
        <v>195</v>
      </c>
      <c r="E286" s="9" t="s">
        <v>230</v>
      </c>
      <c r="F286" s="10">
        <v>455447.05920000002</v>
      </c>
      <c r="G286" s="10">
        <v>795</v>
      </c>
      <c r="H286" s="11">
        <v>469</v>
      </c>
      <c r="I286" s="3"/>
    </row>
    <row r="287" spans="1:9" s="4" customFormat="1" x14ac:dyDescent="0.5">
      <c r="A287" s="8">
        <v>2023</v>
      </c>
      <c r="B287" s="9" t="s">
        <v>19</v>
      </c>
      <c r="C287" s="9" t="s">
        <v>8</v>
      </c>
      <c r="D287" s="9" t="s">
        <v>155</v>
      </c>
      <c r="E287" s="9" t="s">
        <v>233</v>
      </c>
      <c r="F287" s="10">
        <v>457304.96</v>
      </c>
      <c r="G287" s="10">
        <v>930</v>
      </c>
      <c r="H287" s="11">
        <v>563</v>
      </c>
      <c r="I287" s="3"/>
    </row>
    <row r="288" spans="1:9" s="4" customFormat="1" x14ac:dyDescent="0.5">
      <c r="A288" s="8">
        <v>2023</v>
      </c>
      <c r="B288" s="9" t="s">
        <v>27</v>
      </c>
      <c r="C288" s="9" t="s">
        <v>8</v>
      </c>
      <c r="D288" s="9" t="s">
        <v>129</v>
      </c>
      <c r="E288" s="9" t="s">
        <v>232</v>
      </c>
      <c r="F288" s="10">
        <v>461137.6</v>
      </c>
      <c r="G288" s="10">
        <v>403</v>
      </c>
      <c r="H288" s="11">
        <v>953</v>
      </c>
      <c r="I288" s="3"/>
    </row>
    <row r="289" spans="1:9" s="4" customFormat="1" x14ac:dyDescent="0.5">
      <c r="A289" s="8">
        <v>2023</v>
      </c>
      <c r="B289" s="9" t="s">
        <v>21</v>
      </c>
      <c r="C289" s="9" t="s">
        <v>8</v>
      </c>
      <c r="D289" s="9" t="s">
        <v>66</v>
      </c>
      <c r="E289" s="9" t="s">
        <v>234</v>
      </c>
      <c r="F289" s="10">
        <v>462946.4</v>
      </c>
      <c r="G289" s="10">
        <v>597</v>
      </c>
      <c r="H289" s="11">
        <v>287</v>
      </c>
      <c r="I289" s="3"/>
    </row>
    <row r="290" spans="1:9" s="4" customFormat="1" x14ac:dyDescent="0.5">
      <c r="A290" s="8">
        <v>2023</v>
      </c>
      <c r="B290" s="9" t="s">
        <v>23</v>
      </c>
      <c r="C290" s="9" t="s">
        <v>8</v>
      </c>
      <c r="D290" s="9" t="s">
        <v>196</v>
      </c>
      <c r="E290" s="9" t="s">
        <v>229</v>
      </c>
      <c r="F290" s="10">
        <v>466324.32</v>
      </c>
      <c r="G290" s="10">
        <v>597</v>
      </c>
      <c r="H290" s="11">
        <v>287</v>
      </c>
      <c r="I290" s="3"/>
    </row>
    <row r="291" spans="1:9" s="4" customFormat="1" x14ac:dyDescent="0.5">
      <c r="A291" s="8">
        <v>2023</v>
      </c>
      <c r="B291" s="9" t="s">
        <v>25</v>
      </c>
      <c r="C291" s="9" t="s">
        <v>8</v>
      </c>
      <c r="D291" s="9" t="s">
        <v>95</v>
      </c>
      <c r="E291" s="9" t="s">
        <v>236</v>
      </c>
      <c r="F291" s="10">
        <v>479334.24</v>
      </c>
      <c r="G291" s="10">
        <v>568</v>
      </c>
      <c r="H291" s="11">
        <v>505</v>
      </c>
      <c r="I291" s="3"/>
    </row>
    <row r="292" spans="1:9" s="4" customFormat="1" x14ac:dyDescent="0.5">
      <c r="A292" s="8">
        <v>2023</v>
      </c>
      <c r="B292" s="9" t="s">
        <v>24</v>
      </c>
      <c r="C292" s="9" t="s">
        <v>8</v>
      </c>
      <c r="D292" s="9" t="s">
        <v>197</v>
      </c>
      <c r="E292" s="9" t="s">
        <v>230</v>
      </c>
      <c r="F292" s="10">
        <v>480165.28</v>
      </c>
      <c r="G292" s="10">
        <v>568</v>
      </c>
      <c r="H292" s="11">
        <v>505</v>
      </c>
      <c r="I292" s="3"/>
    </row>
    <row r="293" spans="1:9" s="4" customFormat="1" x14ac:dyDescent="0.5">
      <c r="A293" s="8">
        <v>2023</v>
      </c>
      <c r="B293" s="9" t="s">
        <v>27</v>
      </c>
      <c r="C293" s="9" t="s">
        <v>8</v>
      </c>
      <c r="D293" s="9" t="s">
        <v>127</v>
      </c>
      <c r="E293" s="9" t="s">
        <v>233</v>
      </c>
      <c r="F293" s="10">
        <v>482446.72</v>
      </c>
      <c r="G293" s="10">
        <v>168</v>
      </c>
      <c r="H293" s="11">
        <v>97</v>
      </c>
      <c r="I293" s="3"/>
    </row>
    <row r="294" spans="1:9" s="4" customFormat="1" x14ac:dyDescent="0.5">
      <c r="A294" s="8">
        <v>2023</v>
      </c>
      <c r="B294" s="9" t="s">
        <v>25</v>
      </c>
      <c r="C294" s="9" t="s">
        <v>8</v>
      </c>
      <c r="D294" s="9" t="s">
        <v>53</v>
      </c>
      <c r="E294" s="9" t="s">
        <v>232</v>
      </c>
      <c r="F294" s="10">
        <v>482446.72</v>
      </c>
      <c r="G294" s="10">
        <v>839</v>
      </c>
      <c r="H294" s="11">
        <v>983</v>
      </c>
      <c r="I294" s="3"/>
    </row>
    <row r="295" spans="1:9" s="4" customFormat="1" x14ac:dyDescent="0.5">
      <c r="A295" s="8">
        <v>2023</v>
      </c>
      <c r="B295" s="9" t="s">
        <v>25</v>
      </c>
      <c r="C295" s="9" t="s">
        <v>8</v>
      </c>
      <c r="D295" s="9" t="s">
        <v>123</v>
      </c>
      <c r="E295" s="9" t="s">
        <v>231</v>
      </c>
      <c r="F295" s="10">
        <v>483679.83999999997</v>
      </c>
      <c r="G295" s="10">
        <v>839</v>
      </c>
      <c r="H295" s="11">
        <v>334</v>
      </c>
      <c r="I295" s="3"/>
    </row>
    <row r="296" spans="1:9" s="4" customFormat="1" x14ac:dyDescent="0.5">
      <c r="A296" s="8">
        <v>2023</v>
      </c>
      <c r="B296" s="9" t="s">
        <v>23</v>
      </c>
      <c r="C296" s="9" t="s">
        <v>8</v>
      </c>
      <c r="D296" s="9" t="s">
        <v>198</v>
      </c>
      <c r="E296" s="9" t="s">
        <v>231</v>
      </c>
      <c r="F296" s="10">
        <v>491219.68</v>
      </c>
      <c r="G296" s="10">
        <v>784</v>
      </c>
      <c r="H296" s="11">
        <v>540</v>
      </c>
      <c r="I296" s="3"/>
    </row>
    <row r="297" spans="1:9" s="4" customFormat="1" x14ac:dyDescent="0.5">
      <c r="A297" s="8">
        <v>2023</v>
      </c>
      <c r="B297" s="9" t="s">
        <v>22</v>
      </c>
      <c r="C297" s="9" t="s">
        <v>8</v>
      </c>
      <c r="D297" s="9" t="s">
        <v>33</v>
      </c>
      <c r="E297" s="9" t="s">
        <v>234</v>
      </c>
      <c r="F297" s="10">
        <v>511374.08000000002</v>
      </c>
      <c r="G297" s="10">
        <v>784</v>
      </c>
      <c r="H297" s="11">
        <v>540</v>
      </c>
      <c r="I297" s="3"/>
    </row>
    <row r="298" spans="1:9" s="4" customFormat="1" x14ac:dyDescent="0.5">
      <c r="A298" s="8">
        <v>2023</v>
      </c>
      <c r="B298" s="9" t="s">
        <v>27</v>
      </c>
      <c r="C298" s="9" t="s">
        <v>8</v>
      </c>
      <c r="D298" s="9" t="s">
        <v>125</v>
      </c>
      <c r="E298" s="9" t="s">
        <v>232</v>
      </c>
      <c r="F298" s="10">
        <v>513714.88</v>
      </c>
      <c r="G298" s="10">
        <v>872</v>
      </c>
      <c r="H298" s="11">
        <v>249</v>
      </c>
      <c r="I298" s="3"/>
    </row>
    <row r="299" spans="1:9" s="4" customFormat="1" x14ac:dyDescent="0.5">
      <c r="A299" s="8">
        <v>2023</v>
      </c>
      <c r="B299" s="9" t="s">
        <v>19</v>
      </c>
      <c r="C299" s="9" t="s">
        <v>8</v>
      </c>
      <c r="D299" s="9" t="s">
        <v>199</v>
      </c>
      <c r="E299" s="9" t="s">
        <v>231</v>
      </c>
      <c r="F299" s="10">
        <v>513714.88</v>
      </c>
      <c r="G299" s="10">
        <v>312</v>
      </c>
      <c r="H299" s="11">
        <v>983</v>
      </c>
      <c r="I299" s="3"/>
    </row>
    <row r="300" spans="1:9" s="4" customFormat="1" x14ac:dyDescent="0.5">
      <c r="A300" s="8">
        <v>2023</v>
      </c>
      <c r="B300" s="9" t="s">
        <v>21</v>
      </c>
      <c r="C300" s="9" t="s">
        <v>8</v>
      </c>
      <c r="D300" s="9" t="s">
        <v>145</v>
      </c>
      <c r="E300" s="9" t="s">
        <v>229</v>
      </c>
      <c r="F300" s="10">
        <v>517632.64</v>
      </c>
      <c r="G300" s="10">
        <v>413</v>
      </c>
      <c r="H300" s="11">
        <v>930</v>
      </c>
      <c r="I300" s="3"/>
    </row>
    <row r="301" spans="1:9" s="4" customFormat="1" x14ac:dyDescent="0.5">
      <c r="A301" s="8">
        <v>2023</v>
      </c>
      <c r="B301" s="9" t="s">
        <v>26</v>
      </c>
      <c r="C301" s="9" t="s">
        <v>8</v>
      </c>
      <c r="D301" s="9" t="s">
        <v>105</v>
      </c>
      <c r="E301" s="9" t="s">
        <v>234</v>
      </c>
      <c r="F301" s="10">
        <v>518578.50240000006</v>
      </c>
      <c r="G301" s="10">
        <v>568</v>
      </c>
      <c r="H301" s="11">
        <v>505</v>
      </c>
      <c r="I301" s="3"/>
    </row>
    <row r="302" spans="1:9" s="4" customFormat="1" x14ac:dyDescent="0.5">
      <c r="A302" s="8">
        <v>2023</v>
      </c>
      <c r="B302" s="9" t="s">
        <v>19</v>
      </c>
      <c r="C302" s="9" t="s">
        <v>8</v>
      </c>
      <c r="D302" s="9" t="s">
        <v>200</v>
      </c>
      <c r="E302" s="9" t="s">
        <v>234</v>
      </c>
      <c r="F302" s="10">
        <v>521042.45759999997</v>
      </c>
      <c r="G302" s="10">
        <v>168</v>
      </c>
      <c r="H302" s="11">
        <v>97</v>
      </c>
      <c r="I302" s="3"/>
    </row>
    <row r="303" spans="1:9" s="4" customFormat="1" x14ac:dyDescent="0.5">
      <c r="A303" s="8">
        <v>2023</v>
      </c>
      <c r="B303" s="9" t="s">
        <v>19</v>
      </c>
      <c r="C303" s="9" t="s">
        <v>8</v>
      </c>
      <c r="D303" s="9" t="s">
        <v>201</v>
      </c>
      <c r="E303" s="9" t="s">
        <v>229</v>
      </c>
      <c r="F303" s="10">
        <v>521766.56</v>
      </c>
      <c r="G303" s="10">
        <v>839</v>
      </c>
      <c r="H303" s="11">
        <v>334</v>
      </c>
      <c r="I303" s="3"/>
    </row>
    <row r="304" spans="1:9" s="4" customFormat="1" x14ac:dyDescent="0.5">
      <c r="A304" s="8">
        <v>2023</v>
      </c>
      <c r="B304" s="9" t="s">
        <v>18</v>
      </c>
      <c r="C304" s="9" t="s">
        <v>8</v>
      </c>
      <c r="D304" s="9" t="s">
        <v>39</v>
      </c>
      <c r="E304" s="9" t="s">
        <v>229</v>
      </c>
      <c r="F304" s="10">
        <v>522516.96</v>
      </c>
      <c r="G304" s="10">
        <v>839</v>
      </c>
      <c r="H304" s="11">
        <v>983</v>
      </c>
      <c r="I304" s="3"/>
    </row>
    <row r="305" spans="1:9" s="4" customFormat="1" x14ac:dyDescent="0.5">
      <c r="A305" s="8">
        <v>2023</v>
      </c>
      <c r="B305" s="9" t="s">
        <v>23</v>
      </c>
      <c r="C305" s="9" t="s">
        <v>8</v>
      </c>
      <c r="D305" s="9" t="s">
        <v>154</v>
      </c>
      <c r="E305" s="9" t="s">
        <v>232</v>
      </c>
      <c r="F305" s="10">
        <v>524849.92000000004</v>
      </c>
      <c r="G305" s="10">
        <v>168</v>
      </c>
      <c r="H305" s="11">
        <v>97</v>
      </c>
      <c r="I305" s="3"/>
    </row>
    <row r="306" spans="1:9" s="4" customFormat="1" x14ac:dyDescent="0.5">
      <c r="A306" s="8">
        <v>2023</v>
      </c>
      <c r="B306" s="9" t="s">
        <v>19</v>
      </c>
      <c r="C306" s="9" t="s">
        <v>8</v>
      </c>
      <c r="D306" s="9" t="s">
        <v>202</v>
      </c>
      <c r="E306" s="9" t="s">
        <v>234</v>
      </c>
      <c r="F306" s="10">
        <v>526794.23999999999</v>
      </c>
      <c r="G306" s="10">
        <v>168</v>
      </c>
      <c r="H306" s="11">
        <v>97</v>
      </c>
      <c r="I306" s="3"/>
    </row>
    <row r="307" spans="1:9" s="4" customFormat="1" x14ac:dyDescent="0.5">
      <c r="A307" s="8">
        <v>2023</v>
      </c>
      <c r="B307" s="9" t="s">
        <v>21</v>
      </c>
      <c r="C307" s="9" t="s">
        <v>8</v>
      </c>
      <c r="D307" s="9" t="s">
        <v>111</v>
      </c>
      <c r="E307" s="9" t="s">
        <v>234</v>
      </c>
      <c r="F307" s="10">
        <v>552284.00640000007</v>
      </c>
      <c r="G307" s="10">
        <v>597</v>
      </c>
      <c r="H307" s="11">
        <v>287</v>
      </c>
      <c r="I307" s="3"/>
    </row>
    <row r="308" spans="1:9" s="4" customFormat="1" x14ac:dyDescent="0.5">
      <c r="A308" s="8">
        <v>2023</v>
      </c>
      <c r="B308" s="9" t="s">
        <v>22</v>
      </c>
      <c r="C308" s="9" t="s">
        <v>8</v>
      </c>
      <c r="D308" s="9" t="s">
        <v>114</v>
      </c>
      <c r="E308" s="9" t="s">
        <v>229</v>
      </c>
      <c r="F308" s="10">
        <v>554812.07039999997</v>
      </c>
      <c r="G308" s="10">
        <v>839</v>
      </c>
      <c r="H308" s="11">
        <v>983</v>
      </c>
      <c r="I308" s="3"/>
    </row>
    <row r="309" spans="1:9" s="4" customFormat="1" x14ac:dyDescent="0.5">
      <c r="A309" s="8">
        <v>2023</v>
      </c>
      <c r="B309" s="9" t="s">
        <v>19</v>
      </c>
      <c r="C309" s="9" t="s">
        <v>8</v>
      </c>
      <c r="D309" s="9" t="s">
        <v>203</v>
      </c>
      <c r="E309" s="9" t="s">
        <v>230</v>
      </c>
      <c r="F309" s="10">
        <v>559043.25120000006</v>
      </c>
      <c r="G309" s="10">
        <v>839</v>
      </c>
      <c r="H309" s="11">
        <v>983</v>
      </c>
      <c r="I309" s="3"/>
    </row>
    <row r="310" spans="1:9" s="4" customFormat="1" x14ac:dyDescent="0.5">
      <c r="A310" s="8">
        <v>2023</v>
      </c>
      <c r="B310" s="9" t="s">
        <v>20</v>
      </c>
      <c r="C310" s="9" t="s">
        <v>8</v>
      </c>
      <c r="D310" s="9" t="s">
        <v>116</v>
      </c>
      <c r="E310" s="9" t="s">
        <v>236</v>
      </c>
      <c r="F310" s="10">
        <v>564318.31680000003</v>
      </c>
      <c r="G310" s="10">
        <v>312</v>
      </c>
      <c r="H310" s="11">
        <v>983</v>
      </c>
      <c r="I310" s="3"/>
    </row>
    <row r="311" spans="1:9" s="4" customFormat="1" x14ac:dyDescent="0.5">
      <c r="A311" s="8">
        <v>2023</v>
      </c>
      <c r="B311" s="9" t="s">
        <v>18</v>
      </c>
      <c r="C311" s="9" t="s">
        <v>8</v>
      </c>
      <c r="D311" s="9" t="s">
        <v>32</v>
      </c>
      <c r="E311" s="9" t="s">
        <v>231</v>
      </c>
      <c r="F311" s="10">
        <v>566350.4</v>
      </c>
      <c r="G311" s="10">
        <v>403</v>
      </c>
      <c r="H311" s="11">
        <v>953</v>
      </c>
      <c r="I311" s="3"/>
    </row>
    <row r="312" spans="1:9" s="4" customFormat="1" x14ac:dyDescent="0.5">
      <c r="A312" s="8">
        <v>2023</v>
      </c>
      <c r="B312" s="9" t="s">
        <v>25</v>
      </c>
      <c r="C312" s="9" t="s">
        <v>8</v>
      </c>
      <c r="D312" s="9" t="s">
        <v>117</v>
      </c>
      <c r="E312" s="9" t="s">
        <v>232</v>
      </c>
      <c r="F312" s="10">
        <v>566837.91360000009</v>
      </c>
      <c r="G312" s="10">
        <v>872</v>
      </c>
      <c r="H312" s="11">
        <v>249</v>
      </c>
      <c r="I312" s="3"/>
    </row>
    <row r="313" spans="1:9" s="4" customFormat="1" x14ac:dyDescent="0.5">
      <c r="A313" s="8">
        <v>2023</v>
      </c>
      <c r="B313" s="9" t="s">
        <v>19</v>
      </c>
      <c r="C313" s="9" t="s">
        <v>8</v>
      </c>
      <c r="D313" s="9" t="s">
        <v>204</v>
      </c>
      <c r="E313" s="9" t="s">
        <v>233</v>
      </c>
      <c r="F313" s="10">
        <v>578538.23999999999</v>
      </c>
      <c r="G313" s="10">
        <v>795</v>
      </c>
      <c r="H313" s="11">
        <v>469</v>
      </c>
      <c r="I313" s="3"/>
    </row>
    <row r="314" spans="1:9" s="4" customFormat="1" x14ac:dyDescent="0.5">
      <c r="A314" s="8">
        <v>2023</v>
      </c>
      <c r="B314" s="9" t="s">
        <v>25</v>
      </c>
      <c r="C314" s="9" t="s">
        <v>8</v>
      </c>
      <c r="D314" s="9" t="s">
        <v>56</v>
      </c>
      <c r="E314" s="9" t="s">
        <v>233</v>
      </c>
      <c r="F314" s="10">
        <v>587074.88</v>
      </c>
      <c r="G314" s="10">
        <v>210</v>
      </c>
      <c r="H314" s="11">
        <v>177</v>
      </c>
      <c r="I314" s="3"/>
    </row>
    <row r="315" spans="1:9" s="4" customFormat="1" x14ac:dyDescent="0.5">
      <c r="A315" s="8">
        <v>2023</v>
      </c>
      <c r="B315" s="9" t="s">
        <v>19</v>
      </c>
      <c r="C315" s="9" t="s">
        <v>8</v>
      </c>
      <c r="D315" s="9" t="s">
        <v>205</v>
      </c>
      <c r="E315" s="9" t="s">
        <v>233</v>
      </c>
      <c r="F315" s="10">
        <v>609031.36</v>
      </c>
      <c r="G315" s="10">
        <v>839</v>
      </c>
      <c r="H315" s="11">
        <v>334</v>
      </c>
      <c r="I315" s="3"/>
    </row>
    <row r="316" spans="1:9" s="4" customFormat="1" x14ac:dyDescent="0.5">
      <c r="A316" s="8">
        <v>2023</v>
      </c>
      <c r="B316" s="9" t="s">
        <v>27</v>
      </c>
      <c r="C316" s="9" t="s">
        <v>8</v>
      </c>
      <c r="D316" s="9" t="s">
        <v>173</v>
      </c>
      <c r="E316" s="9" t="s">
        <v>232</v>
      </c>
      <c r="F316" s="10">
        <v>612550.40000000002</v>
      </c>
      <c r="G316" s="10">
        <v>692</v>
      </c>
      <c r="H316" s="11">
        <v>300</v>
      </c>
      <c r="I316" s="3"/>
    </row>
    <row r="317" spans="1:9" s="4" customFormat="1" x14ac:dyDescent="0.5">
      <c r="A317" s="8">
        <v>2023</v>
      </c>
      <c r="B317" s="9" t="s">
        <v>25</v>
      </c>
      <c r="C317" s="9" t="s">
        <v>8</v>
      </c>
      <c r="D317" s="9" t="s">
        <v>54</v>
      </c>
      <c r="E317" s="9" t="s">
        <v>229</v>
      </c>
      <c r="F317" s="10">
        <v>612550.40000000002</v>
      </c>
      <c r="G317" s="10">
        <v>413</v>
      </c>
      <c r="H317" s="11">
        <v>930</v>
      </c>
      <c r="I317" s="3"/>
    </row>
    <row r="318" spans="1:9" s="4" customFormat="1" x14ac:dyDescent="0.5">
      <c r="A318" s="8">
        <v>2023</v>
      </c>
      <c r="B318" s="9" t="s">
        <v>25</v>
      </c>
      <c r="C318" s="9" t="s">
        <v>8</v>
      </c>
      <c r="D318" s="9" t="s">
        <v>128</v>
      </c>
      <c r="E318" s="9" t="s">
        <v>233</v>
      </c>
      <c r="F318" s="10">
        <v>624821.29920000001</v>
      </c>
      <c r="G318" s="10">
        <v>168</v>
      </c>
      <c r="H318" s="11">
        <v>97</v>
      </c>
      <c r="I318" s="3"/>
    </row>
    <row r="319" spans="1:9" s="4" customFormat="1" x14ac:dyDescent="0.5">
      <c r="A319" s="8">
        <v>2023</v>
      </c>
      <c r="B319" s="9" t="s">
        <v>25</v>
      </c>
      <c r="C319" s="9" t="s">
        <v>8</v>
      </c>
      <c r="D319" s="9" t="s">
        <v>131</v>
      </c>
      <c r="E319" s="9" t="s">
        <v>236</v>
      </c>
      <c r="F319" s="10">
        <v>633797.74080000003</v>
      </c>
      <c r="G319" s="10">
        <v>968</v>
      </c>
      <c r="H319" s="11">
        <v>330</v>
      </c>
      <c r="I319" s="3"/>
    </row>
    <row r="320" spans="1:9" s="4" customFormat="1" x14ac:dyDescent="0.5">
      <c r="A320" s="8">
        <v>2023</v>
      </c>
      <c r="B320" s="9" t="s">
        <v>27</v>
      </c>
      <c r="C320" s="9" t="s">
        <v>8</v>
      </c>
      <c r="D320" s="9" t="s">
        <v>132</v>
      </c>
      <c r="E320" s="9" t="s">
        <v>232</v>
      </c>
      <c r="F320" s="10">
        <v>634040.87040000001</v>
      </c>
      <c r="G320" s="10">
        <v>839</v>
      </c>
      <c r="H320" s="11">
        <v>983</v>
      </c>
      <c r="I320" s="3"/>
    </row>
    <row r="321" spans="1:9" s="4" customFormat="1" x14ac:dyDescent="0.5">
      <c r="A321" s="8">
        <v>2023</v>
      </c>
      <c r="B321" s="9" t="s">
        <v>18</v>
      </c>
      <c r="C321" s="9" t="s">
        <v>8</v>
      </c>
      <c r="D321" s="9" t="s">
        <v>157</v>
      </c>
      <c r="E321" s="9" t="s">
        <v>233</v>
      </c>
      <c r="F321" s="10">
        <v>635797.12</v>
      </c>
      <c r="G321" s="10">
        <v>93</v>
      </c>
      <c r="H321" s="11">
        <v>852</v>
      </c>
      <c r="I321" s="3"/>
    </row>
    <row r="322" spans="1:9" s="4" customFormat="1" x14ac:dyDescent="0.5">
      <c r="A322" s="8">
        <v>2023</v>
      </c>
      <c r="B322" s="9" t="s">
        <v>20</v>
      </c>
      <c r="C322" s="9" t="s">
        <v>8</v>
      </c>
      <c r="D322" s="9" t="s">
        <v>112</v>
      </c>
      <c r="E322" s="9" t="s">
        <v>236</v>
      </c>
      <c r="F322" s="10">
        <v>642616.80000000005</v>
      </c>
      <c r="G322" s="10">
        <v>577</v>
      </c>
      <c r="H322" s="11">
        <v>175</v>
      </c>
      <c r="I322" s="3"/>
    </row>
    <row r="323" spans="1:9" s="4" customFormat="1" x14ac:dyDescent="0.5">
      <c r="A323" s="8">
        <v>2023</v>
      </c>
      <c r="B323" s="9" t="s">
        <v>19</v>
      </c>
      <c r="C323" s="9" t="s">
        <v>8</v>
      </c>
      <c r="D323" s="9" t="s">
        <v>122</v>
      </c>
      <c r="E323" s="9" t="s">
        <v>228</v>
      </c>
      <c r="F323" s="10">
        <v>653988.16</v>
      </c>
      <c r="G323" s="10">
        <v>403</v>
      </c>
      <c r="H323" s="11">
        <v>953</v>
      </c>
      <c r="I323" s="3"/>
    </row>
    <row r="324" spans="1:9" s="4" customFormat="1" x14ac:dyDescent="0.5">
      <c r="A324" s="8">
        <v>2023</v>
      </c>
      <c r="B324" s="9" t="s">
        <v>24</v>
      </c>
      <c r="C324" s="9" t="s">
        <v>8</v>
      </c>
      <c r="D324" s="9" t="s">
        <v>206</v>
      </c>
      <c r="E324" s="9" t="s">
        <v>229</v>
      </c>
      <c r="F324" s="10">
        <v>655095.84</v>
      </c>
      <c r="G324" s="10">
        <v>692</v>
      </c>
      <c r="H324" s="11">
        <v>300</v>
      </c>
      <c r="I324" s="3"/>
    </row>
    <row r="325" spans="1:9" s="4" customFormat="1" x14ac:dyDescent="0.5">
      <c r="A325" s="8">
        <v>2023</v>
      </c>
      <c r="B325" s="9" t="s">
        <v>23</v>
      </c>
      <c r="C325" s="9" t="s">
        <v>8</v>
      </c>
      <c r="D325" s="9" t="s">
        <v>207</v>
      </c>
      <c r="E325" s="9" t="s">
        <v>233</v>
      </c>
      <c r="F325" s="10">
        <v>657753.86879999994</v>
      </c>
      <c r="G325" s="10">
        <v>610</v>
      </c>
      <c r="H325" s="11">
        <v>970</v>
      </c>
      <c r="I325" s="3"/>
    </row>
    <row r="326" spans="1:9" s="4" customFormat="1" x14ac:dyDescent="0.5">
      <c r="A326" s="8">
        <v>2023</v>
      </c>
      <c r="B326" s="9" t="s">
        <v>22</v>
      </c>
      <c r="C326" s="9" t="s">
        <v>8</v>
      </c>
      <c r="D326" s="9" t="s">
        <v>46</v>
      </c>
      <c r="E326" s="9" t="s">
        <v>230</v>
      </c>
      <c r="F326" s="10">
        <v>658492.80000000005</v>
      </c>
      <c r="G326" s="10">
        <v>568</v>
      </c>
      <c r="H326" s="11">
        <v>505</v>
      </c>
      <c r="I326" s="3"/>
    </row>
    <row r="327" spans="1:9" s="4" customFormat="1" x14ac:dyDescent="0.5">
      <c r="A327" s="8">
        <v>2023</v>
      </c>
      <c r="B327" s="9" t="s">
        <v>23</v>
      </c>
      <c r="C327" s="9" t="s">
        <v>8</v>
      </c>
      <c r="D327" s="9" t="s">
        <v>208</v>
      </c>
      <c r="E327" s="9" t="s">
        <v>230</v>
      </c>
      <c r="F327" s="10">
        <v>660390.07999999996</v>
      </c>
      <c r="G327" s="10">
        <v>577</v>
      </c>
      <c r="H327" s="11">
        <v>175</v>
      </c>
      <c r="I327" s="3"/>
    </row>
    <row r="328" spans="1:9" s="4" customFormat="1" x14ac:dyDescent="0.5">
      <c r="A328" s="8">
        <v>2023</v>
      </c>
      <c r="B328" s="9" t="s">
        <v>23</v>
      </c>
      <c r="C328" s="9" t="s">
        <v>8</v>
      </c>
      <c r="D328" s="9" t="s">
        <v>67</v>
      </c>
      <c r="E328" s="9" t="s">
        <v>235</v>
      </c>
      <c r="F328" s="10">
        <v>660390.07999999996</v>
      </c>
      <c r="G328" s="10">
        <v>93</v>
      </c>
      <c r="H328" s="11">
        <v>852</v>
      </c>
      <c r="I328" s="3"/>
    </row>
    <row r="329" spans="1:9" s="4" customFormat="1" x14ac:dyDescent="0.5">
      <c r="A329" s="8">
        <v>2023</v>
      </c>
      <c r="B329" s="9" t="s">
        <v>26</v>
      </c>
      <c r="C329" s="9" t="s">
        <v>8</v>
      </c>
      <c r="D329" s="9" t="s">
        <v>92</v>
      </c>
      <c r="E329" s="9" t="s">
        <v>234</v>
      </c>
      <c r="F329" s="10">
        <v>668335.35999999999</v>
      </c>
      <c r="G329" s="10">
        <v>839</v>
      </c>
      <c r="H329" s="11">
        <v>983</v>
      </c>
      <c r="I329" s="3"/>
    </row>
    <row r="330" spans="1:9" s="4" customFormat="1" x14ac:dyDescent="0.5">
      <c r="A330" s="8">
        <v>2023</v>
      </c>
      <c r="B330" s="9" t="s">
        <v>21</v>
      </c>
      <c r="C330" s="9" t="s">
        <v>8</v>
      </c>
      <c r="D330" s="9" t="s">
        <v>139</v>
      </c>
      <c r="E330" s="9" t="s">
        <v>229</v>
      </c>
      <c r="F330" s="10">
        <v>670153.12</v>
      </c>
      <c r="G330" s="10">
        <v>577</v>
      </c>
      <c r="H330" s="11">
        <v>175</v>
      </c>
      <c r="I330" s="3"/>
    </row>
    <row r="331" spans="1:9" s="4" customFormat="1" x14ac:dyDescent="0.5">
      <c r="A331" s="8">
        <v>2023</v>
      </c>
      <c r="B331" s="9" t="s">
        <v>19</v>
      </c>
      <c r="C331" s="9" t="s">
        <v>8</v>
      </c>
      <c r="D331" s="9" t="s">
        <v>101</v>
      </c>
      <c r="E331" s="9" t="s">
        <v>233</v>
      </c>
      <c r="F331" s="10">
        <v>685441.12</v>
      </c>
      <c r="G331" s="10">
        <v>872</v>
      </c>
      <c r="H331" s="11">
        <v>249</v>
      </c>
      <c r="I331" s="3"/>
    </row>
    <row r="332" spans="1:9" s="4" customFormat="1" x14ac:dyDescent="0.5">
      <c r="A332" s="8">
        <v>2023</v>
      </c>
      <c r="B332" s="9" t="s">
        <v>23</v>
      </c>
      <c r="C332" s="9" t="s">
        <v>8</v>
      </c>
      <c r="D332" s="9" t="s">
        <v>80</v>
      </c>
      <c r="E332" s="9" t="s">
        <v>236</v>
      </c>
      <c r="F332" s="10">
        <v>685790.56</v>
      </c>
      <c r="G332" s="10">
        <v>568</v>
      </c>
      <c r="H332" s="11">
        <v>505</v>
      </c>
      <c r="I332" s="3"/>
    </row>
    <row r="333" spans="1:9" s="4" customFormat="1" x14ac:dyDescent="0.5">
      <c r="A333" s="8">
        <v>2023</v>
      </c>
      <c r="B333" s="9" t="s">
        <v>25</v>
      </c>
      <c r="C333" s="9" t="s">
        <v>8</v>
      </c>
      <c r="D333" s="9" t="s">
        <v>41</v>
      </c>
      <c r="E333" s="9" t="s">
        <v>230</v>
      </c>
      <c r="F333" s="10">
        <v>686164.64</v>
      </c>
      <c r="G333" s="10">
        <v>795</v>
      </c>
      <c r="H333" s="11">
        <v>469</v>
      </c>
      <c r="I333" s="3"/>
    </row>
    <row r="334" spans="1:9" s="4" customFormat="1" x14ac:dyDescent="0.5">
      <c r="A334" s="8">
        <v>2023</v>
      </c>
      <c r="B334" s="9" t="s">
        <v>20</v>
      </c>
      <c r="C334" s="9" t="s">
        <v>8</v>
      </c>
      <c r="D334" s="9" t="s">
        <v>137</v>
      </c>
      <c r="E334" s="9" t="s">
        <v>230</v>
      </c>
      <c r="F334" s="10">
        <v>686660.88959999999</v>
      </c>
      <c r="G334" s="10">
        <v>795</v>
      </c>
      <c r="H334" s="11">
        <v>469</v>
      </c>
      <c r="I334" s="3"/>
    </row>
    <row r="335" spans="1:9" s="4" customFormat="1" x14ac:dyDescent="0.5">
      <c r="A335" s="8">
        <v>2023</v>
      </c>
      <c r="B335" s="9" t="s">
        <v>27</v>
      </c>
      <c r="C335" s="9" t="s">
        <v>8</v>
      </c>
      <c r="D335" s="9" t="s">
        <v>37</v>
      </c>
      <c r="E335" s="9" t="s">
        <v>230</v>
      </c>
      <c r="F335" s="10">
        <v>692508.32</v>
      </c>
      <c r="G335" s="10">
        <v>610</v>
      </c>
      <c r="H335" s="11">
        <v>970</v>
      </c>
      <c r="I335" s="3"/>
    </row>
    <row r="336" spans="1:9" s="4" customFormat="1" x14ac:dyDescent="0.5">
      <c r="A336" s="8">
        <v>2023</v>
      </c>
      <c r="B336" s="9" t="s">
        <v>26</v>
      </c>
      <c r="C336" s="9" t="s">
        <v>8</v>
      </c>
      <c r="D336" s="9" t="s">
        <v>178</v>
      </c>
      <c r="E336" s="9" t="s">
        <v>234</v>
      </c>
      <c r="F336" s="10">
        <v>692508.32</v>
      </c>
      <c r="G336" s="10">
        <v>287</v>
      </c>
      <c r="H336" s="11">
        <v>744</v>
      </c>
      <c r="I336" s="3"/>
    </row>
    <row r="337" spans="1:9" s="4" customFormat="1" x14ac:dyDescent="0.5">
      <c r="A337" s="8">
        <v>2023</v>
      </c>
      <c r="B337" s="9" t="s">
        <v>23</v>
      </c>
      <c r="C337" s="9" t="s">
        <v>8</v>
      </c>
      <c r="D337" s="9" t="s">
        <v>209</v>
      </c>
      <c r="E337" s="9" t="s">
        <v>232</v>
      </c>
      <c r="F337" s="10">
        <v>694077.43999999994</v>
      </c>
      <c r="G337" s="10">
        <v>568</v>
      </c>
      <c r="H337" s="11">
        <v>505</v>
      </c>
      <c r="I337" s="3"/>
    </row>
    <row r="338" spans="1:9" s="4" customFormat="1" x14ac:dyDescent="0.5">
      <c r="A338" s="8">
        <v>2023</v>
      </c>
      <c r="B338" s="9" t="s">
        <v>25</v>
      </c>
      <c r="C338" s="9" t="s">
        <v>8</v>
      </c>
      <c r="D338" s="9" t="s">
        <v>82</v>
      </c>
      <c r="E338" s="9" t="s">
        <v>231</v>
      </c>
      <c r="F338" s="10">
        <v>697089.12</v>
      </c>
      <c r="G338" s="10">
        <v>610</v>
      </c>
      <c r="H338" s="11">
        <v>970</v>
      </c>
      <c r="I338" s="3"/>
    </row>
    <row r="339" spans="1:9" s="4" customFormat="1" x14ac:dyDescent="0.5">
      <c r="A339" s="8">
        <v>2023</v>
      </c>
      <c r="B339" s="9" t="s">
        <v>22</v>
      </c>
      <c r="C339" s="9" t="s">
        <v>8</v>
      </c>
      <c r="D339" s="9" t="s">
        <v>81</v>
      </c>
      <c r="E339" s="9" t="s">
        <v>229</v>
      </c>
      <c r="F339" s="10">
        <v>701037.12</v>
      </c>
      <c r="G339" s="10">
        <v>312</v>
      </c>
      <c r="H339" s="11">
        <v>983</v>
      </c>
      <c r="I339" s="3"/>
    </row>
    <row r="340" spans="1:9" s="4" customFormat="1" x14ac:dyDescent="0.5">
      <c r="A340" s="8">
        <v>2023</v>
      </c>
      <c r="B340" s="9" t="s">
        <v>24</v>
      </c>
      <c r="C340" s="9" t="s">
        <v>8</v>
      </c>
      <c r="D340" s="9" t="s">
        <v>180</v>
      </c>
      <c r="E340" s="9" t="s">
        <v>236</v>
      </c>
      <c r="F340" s="10">
        <v>705535.04</v>
      </c>
      <c r="G340" s="10">
        <v>930</v>
      </c>
      <c r="H340" s="11">
        <v>563</v>
      </c>
      <c r="I340" s="3"/>
    </row>
    <row r="341" spans="1:9" s="4" customFormat="1" x14ac:dyDescent="0.5">
      <c r="A341" s="8">
        <v>2023</v>
      </c>
      <c r="B341" s="9" t="s">
        <v>26</v>
      </c>
      <c r="C341" s="9" t="s">
        <v>8</v>
      </c>
      <c r="D341" s="9" t="s">
        <v>36</v>
      </c>
      <c r="E341" s="9" t="s">
        <v>234</v>
      </c>
      <c r="F341" s="10">
        <v>707157.92</v>
      </c>
      <c r="G341" s="10">
        <v>872</v>
      </c>
      <c r="H341" s="11">
        <v>249</v>
      </c>
      <c r="I341" s="3"/>
    </row>
    <row r="342" spans="1:9" s="4" customFormat="1" x14ac:dyDescent="0.5">
      <c r="A342" s="8">
        <v>2023</v>
      </c>
      <c r="B342" s="9" t="s">
        <v>23</v>
      </c>
      <c r="C342" s="9" t="s">
        <v>8</v>
      </c>
      <c r="D342" s="9" t="s">
        <v>140</v>
      </c>
      <c r="E342" s="9" t="s">
        <v>233</v>
      </c>
      <c r="F342" s="10">
        <v>707503.50719999999</v>
      </c>
      <c r="G342" s="10">
        <v>872</v>
      </c>
      <c r="H342" s="11">
        <v>249</v>
      </c>
      <c r="I342" s="3"/>
    </row>
    <row r="343" spans="1:9" s="4" customFormat="1" x14ac:dyDescent="0.5">
      <c r="A343" s="8">
        <v>2023</v>
      </c>
      <c r="B343" s="9" t="s">
        <v>18</v>
      </c>
      <c r="C343" s="9" t="s">
        <v>8</v>
      </c>
      <c r="D343" s="9" t="s">
        <v>210</v>
      </c>
      <c r="E343" s="9" t="s">
        <v>231</v>
      </c>
      <c r="F343" s="10">
        <v>710112.48</v>
      </c>
      <c r="G343" s="10">
        <v>872</v>
      </c>
      <c r="H343" s="11">
        <v>249</v>
      </c>
      <c r="I343" s="3"/>
    </row>
    <row r="344" spans="1:9" s="4" customFormat="1" x14ac:dyDescent="0.5">
      <c r="A344" s="8">
        <v>2023</v>
      </c>
      <c r="B344" s="9" t="s">
        <v>25</v>
      </c>
      <c r="C344" s="9" t="s">
        <v>8</v>
      </c>
      <c r="D344" s="9" t="s">
        <v>141</v>
      </c>
      <c r="E344" s="9" t="s">
        <v>232</v>
      </c>
      <c r="F344" s="10">
        <v>711172.22400000005</v>
      </c>
      <c r="G344" s="10">
        <v>413</v>
      </c>
      <c r="H344" s="11">
        <v>930</v>
      </c>
      <c r="I344" s="3"/>
    </row>
    <row r="345" spans="1:9" s="4" customFormat="1" x14ac:dyDescent="0.5">
      <c r="A345" s="8">
        <v>2023</v>
      </c>
      <c r="B345" s="9" t="s">
        <v>25</v>
      </c>
      <c r="C345" s="9" t="s">
        <v>8</v>
      </c>
      <c r="D345" s="9" t="s">
        <v>64</v>
      </c>
      <c r="E345" s="9" t="s">
        <v>230</v>
      </c>
      <c r="F345" s="10">
        <v>712968.48</v>
      </c>
      <c r="G345" s="10">
        <v>403</v>
      </c>
      <c r="H345" s="11">
        <v>953</v>
      </c>
      <c r="I345" s="3"/>
    </row>
    <row r="346" spans="1:9" s="4" customFormat="1" x14ac:dyDescent="0.5">
      <c r="A346" s="8">
        <v>2023</v>
      </c>
      <c r="B346" s="9" t="s">
        <v>18</v>
      </c>
      <c r="C346" s="9" t="s">
        <v>8</v>
      </c>
      <c r="D346" s="9" t="s">
        <v>211</v>
      </c>
      <c r="E346" s="9" t="s">
        <v>236</v>
      </c>
      <c r="F346" s="10">
        <v>713221.28639999998</v>
      </c>
      <c r="G346" s="10">
        <v>692</v>
      </c>
      <c r="H346" s="11">
        <v>300</v>
      </c>
      <c r="I346" s="3"/>
    </row>
    <row r="347" spans="1:9" s="4" customFormat="1" x14ac:dyDescent="0.5">
      <c r="A347" s="8">
        <v>2023</v>
      </c>
      <c r="B347" s="9" t="s">
        <v>18</v>
      </c>
      <c r="C347" s="9" t="s">
        <v>8</v>
      </c>
      <c r="D347" s="9" t="s">
        <v>143</v>
      </c>
      <c r="E347" s="9" t="s">
        <v>229</v>
      </c>
      <c r="F347" s="10">
        <v>721802.1888</v>
      </c>
      <c r="G347" s="10">
        <v>839</v>
      </c>
      <c r="H347" s="11">
        <v>983</v>
      </c>
      <c r="I347" s="3"/>
    </row>
    <row r="348" spans="1:9" s="4" customFormat="1" x14ac:dyDescent="0.5">
      <c r="A348" s="8">
        <v>2023</v>
      </c>
      <c r="B348" s="9" t="s">
        <v>24</v>
      </c>
      <c r="C348" s="9" t="s">
        <v>8</v>
      </c>
      <c r="D348" s="9" t="s">
        <v>144</v>
      </c>
      <c r="E348" s="9" t="s">
        <v>236</v>
      </c>
      <c r="F348" s="10">
        <v>723765.36959999998</v>
      </c>
      <c r="G348" s="10">
        <v>930</v>
      </c>
      <c r="H348" s="11">
        <v>563</v>
      </c>
      <c r="I348" s="3"/>
    </row>
    <row r="349" spans="1:9" s="4" customFormat="1" x14ac:dyDescent="0.5">
      <c r="A349" s="8">
        <v>2023</v>
      </c>
      <c r="B349" s="9" t="s">
        <v>19</v>
      </c>
      <c r="C349" s="9" t="s">
        <v>8</v>
      </c>
      <c r="D349" s="9" t="s">
        <v>146</v>
      </c>
      <c r="E349" s="9" t="s">
        <v>234</v>
      </c>
      <c r="F349" s="10">
        <v>741057.8112</v>
      </c>
      <c r="G349" s="10">
        <v>872</v>
      </c>
      <c r="H349" s="11">
        <v>249</v>
      </c>
      <c r="I349" s="3"/>
    </row>
    <row r="350" spans="1:9" s="4" customFormat="1" x14ac:dyDescent="0.5">
      <c r="A350" s="8">
        <v>2023</v>
      </c>
      <c r="B350" s="9" t="s">
        <v>19</v>
      </c>
      <c r="C350" s="9" t="s">
        <v>8</v>
      </c>
      <c r="D350" s="9" t="s">
        <v>212</v>
      </c>
      <c r="E350" s="9" t="s">
        <v>230</v>
      </c>
      <c r="F350" s="10">
        <v>749603.6351999999</v>
      </c>
      <c r="G350" s="10">
        <v>795</v>
      </c>
      <c r="H350" s="11">
        <v>469</v>
      </c>
      <c r="I350" s="3"/>
    </row>
    <row r="351" spans="1:9" s="4" customFormat="1" x14ac:dyDescent="0.5">
      <c r="A351" s="8">
        <v>2023</v>
      </c>
      <c r="B351" s="9" t="s">
        <v>25</v>
      </c>
      <c r="C351" s="9" t="s">
        <v>8</v>
      </c>
      <c r="D351" s="9" t="s">
        <v>149</v>
      </c>
      <c r="E351" s="9" t="s">
        <v>232</v>
      </c>
      <c r="F351" s="10">
        <v>752856.24959999998</v>
      </c>
      <c r="G351" s="10">
        <v>968</v>
      </c>
      <c r="H351" s="11">
        <v>330</v>
      </c>
      <c r="I351" s="3"/>
    </row>
    <row r="352" spans="1:9" s="4" customFormat="1" x14ac:dyDescent="0.5">
      <c r="A352" s="8">
        <v>2023</v>
      </c>
      <c r="B352" s="9" t="s">
        <v>18</v>
      </c>
      <c r="C352" s="9" t="s">
        <v>8</v>
      </c>
      <c r="D352" s="9" t="s">
        <v>150</v>
      </c>
      <c r="E352" s="9" t="s">
        <v>229</v>
      </c>
      <c r="F352" s="10">
        <v>757120.08959999995</v>
      </c>
      <c r="G352" s="10">
        <v>839</v>
      </c>
      <c r="H352" s="11">
        <v>983</v>
      </c>
      <c r="I352" s="3"/>
    </row>
    <row r="353" spans="1:9" s="4" customFormat="1" x14ac:dyDescent="0.5">
      <c r="A353" s="8">
        <v>2023</v>
      </c>
      <c r="B353" s="9" t="s">
        <v>19</v>
      </c>
      <c r="C353" s="9" t="s">
        <v>8</v>
      </c>
      <c r="D353" s="9" t="s">
        <v>213</v>
      </c>
      <c r="E353" s="9" t="s">
        <v>229</v>
      </c>
      <c r="F353" s="10">
        <v>761977.8432</v>
      </c>
      <c r="G353" s="10">
        <v>872</v>
      </c>
      <c r="H353" s="11">
        <v>249</v>
      </c>
      <c r="I353" s="3"/>
    </row>
    <row r="354" spans="1:9" s="4" customFormat="1" x14ac:dyDescent="0.5">
      <c r="A354" s="8">
        <v>2023</v>
      </c>
      <c r="B354" s="9" t="s">
        <v>23</v>
      </c>
      <c r="C354" s="9" t="s">
        <v>8</v>
      </c>
      <c r="D354" s="9" t="s">
        <v>152</v>
      </c>
      <c r="E354" s="9" t="s">
        <v>232</v>
      </c>
      <c r="F354" s="10">
        <v>763730.55359999998</v>
      </c>
      <c r="G354" s="10">
        <v>568</v>
      </c>
      <c r="H354" s="11">
        <v>505</v>
      </c>
      <c r="I354" s="3"/>
    </row>
    <row r="355" spans="1:9" s="4" customFormat="1" x14ac:dyDescent="0.5">
      <c r="A355" s="8">
        <v>2023</v>
      </c>
      <c r="B355" s="9" t="s">
        <v>21</v>
      </c>
      <c r="C355" s="9" t="s">
        <v>8</v>
      </c>
      <c r="D355" s="9" t="s">
        <v>83</v>
      </c>
      <c r="E355" s="9" t="s">
        <v>229</v>
      </c>
      <c r="F355" s="10">
        <v>764721.44</v>
      </c>
      <c r="G355" s="10">
        <v>168</v>
      </c>
      <c r="H355" s="11">
        <v>97</v>
      </c>
      <c r="I355" s="3"/>
    </row>
    <row r="356" spans="1:9" s="4" customFormat="1" x14ac:dyDescent="0.5">
      <c r="A356" s="8">
        <v>2023</v>
      </c>
      <c r="B356" s="9" t="s">
        <v>21</v>
      </c>
      <c r="C356" s="9" t="s">
        <v>8</v>
      </c>
      <c r="D356" s="9" t="s">
        <v>153</v>
      </c>
      <c r="E356" s="9" t="s">
        <v>234</v>
      </c>
      <c r="F356" s="10">
        <v>766921.47840000002</v>
      </c>
      <c r="G356" s="10">
        <v>930</v>
      </c>
      <c r="H356" s="11">
        <v>563</v>
      </c>
      <c r="I356" s="3"/>
    </row>
    <row r="357" spans="1:9" s="4" customFormat="1" x14ac:dyDescent="0.5">
      <c r="A357" s="8">
        <v>2023</v>
      </c>
      <c r="B357" s="9" t="s">
        <v>24</v>
      </c>
      <c r="C357" s="9" t="s">
        <v>8</v>
      </c>
      <c r="D357" s="9" t="s">
        <v>214</v>
      </c>
      <c r="E357" s="9" t="s">
        <v>231</v>
      </c>
      <c r="F357" s="10">
        <v>814604</v>
      </c>
      <c r="G357" s="10">
        <v>610</v>
      </c>
      <c r="H357" s="11">
        <v>970</v>
      </c>
      <c r="I357" s="3"/>
    </row>
    <row r="358" spans="1:9" s="4" customFormat="1" x14ac:dyDescent="0.5">
      <c r="A358" s="8">
        <v>2023</v>
      </c>
      <c r="B358" s="9" t="s">
        <v>27</v>
      </c>
      <c r="C358" s="9" t="s">
        <v>8</v>
      </c>
      <c r="D358" s="9" t="s">
        <v>99</v>
      </c>
      <c r="E358" s="9" t="s">
        <v>233</v>
      </c>
      <c r="F358" s="10">
        <v>815366.72</v>
      </c>
      <c r="G358" s="10">
        <v>872</v>
      </c>
      <c r="H358" s="11">
        <v>249</v>
      </c>
      <c r="I358" s="3"/>
    </row>
    <row r="359" spans="1:9" s="4" customFormat="1" x14ac:dyDescent="0.5">
      <c r="A359" s="8">
        <v>2023</v>
      </c>
      <c r="B359" s="9" t="s">
        <v>23</v>
      </c>
      <c r="C359" s="9" t="s">
        <v>8</v>
      </c>
      <c r="D359" s="9" t="s">
        <v>74</v>
      </c>
      <c r="E359" s="9" t="s">
        <v>233</v>
      </c>
      <c r="F359" s="10">
        <v>815624.32</v>
      </c>
      <c r="G359" s="10">
        <v>287</v>
      </c>
      <c r="H359" s="11">
        <v>744</v>
      </c>
      <c r="I359" s="3"/>
    </row>
    <row r="360" spans="1:9" s="4" customFormat="1" x14ac:dyDescent="0.5">
      <c r="A360" s="8">
        <v>2023</v>
      </c>
      <c r="B360" s="9" t="s">
        <v>25</v>
      </c>
      <c r="C360" s="9" t="s">
        <v>8</v>
      </c>
      <c r="D360" s="9" t="s">
        <v>96</v>
      </c>
      <c r="E360" s="9" t="s">
        <v>229</v>
      </c>
      <c r="F360" s="10">
        <v>816850.72</v>
      </c>
      <c r="G360" s="10">
        <v>312</v>
      </c>
      <c r="H360" s="11">
        <v>983</v>
      </c>
      <c r="I360" s="3"/>
    </row>
    <row r="361" spans="1:9" s="4" customFormat="1" x14ac:dyDescent="0.5">
      <c r="A361" s="8">
        <v>2023</v>
      </c>
      <c r="B361" s="9" t="s">
        <v>19</v>
      </c>
      <c r="C361" s="9" t="s">
        <v>8</v>
      </c>
      <c r="D361" s="9" t="s">
        <v>215</v>
      </c>
      <c r="E361" s="9" t="s">
        <v>236</v>
      </c>
      <c r="F361" s="10">
        <v>819636.16</v>
      </c>
      <c r="G361" s="10">
        <v>210</v>
      </c>
      <c r="H361" s="11">
        <v>177</v>
      </c>
      <c r="I361" s="3"/>
    </row>
    <row r="362" spans="1:9" s="4" customFormat="1" x14ac:dyDescent="0.5">
      <c r="A362" s="8">
        <v>2023</v>
      </c>
      <c r="B362" s="9" t="s">
        <v>23</v>
      </c>
      <c r="C362" s="9" t="s">
        <v>8</v>
      </c>
      <c r="D362" s="9" t="s">
        <v>216</v>
      </c>
      <c r="E362" s="9" t="s">
        <v>236</v>
      </c>
      <c r="F362" s="10">
        <v>828244.47999999998</v>
      </c>
      <c r="G362" s="10">
        <v>577</v>
      </c>
      <c r="H362" s="11">
        <v>175</v>
      </c>
      <c r="I362" s="3"/>
    </row>
    <row r="363" spans="1:9" s="4" customFormat="1" x14ac:dyDescent="0.5">
      <c r="A363" s="8">
        <v>2023</v>
      </c>
      <c r="B363" s="9" t="s">
        <v>23</v>
      </c>
      <c r="C363" s="9" t="s">
        <v>8</v>
      </c>
      <c r="D363" s="9" t="s">
        <v>217</v>
      </c>
      <c r="E363" s="9" t="s">
        <v>236</v>
      </c>
      <c r="F363" s="10">
        <v>861855.67999999993</v>
      </c>
      <c r="G363" s="10">
        <v>210</v>
      </c>
      <c r="H363" s="11">
        <v>177</v>
      </c>
      <c r="I363" s="3"/>
    </row>
    <row r="364" spans="1:9" s="4" customFormat="1" x14ac:dyDescent="0.5">
      <c r="A364" s="8">
        <v>2023</v>
      </c>
      <c r="B364" s="9" t="s">
        <v>19</v>
      </c>
      <c r="C364" s="9" t="s">
        <v>8</v>
      </c>
      <c r="D364" s="9" t="s">
        <v>218</v>
      </c>
      <c r="E364" s="9" t="s">
        <v>231</v>
      </c>
      <c r="F364" s="10">
        <v>880596.05759999994</v>
      </c>
      <c r="G364" s="10">
        <v>577</v>
      </c>
      <c r="H364" s="11">
        <v>175</v>
      </c>
      <c r="I364" s="3"/>
    </row>
    <row r="365" spans="1:9" s="4" customFormat="1" x14ac:dyDescent="0.5">
      <c r="A365" s="8">
        <v>2023</v>
      </c>
      <c r="B365" s="9" t="s">
        <v>24</v>
      </c>
      <c r="C365" s="9" t="s">
        <v>8</v>
      </c>
      <c r="D365" s="9" t="s">
        <v>164</v>
      </c>
      <c r="E365" s="9" t="s">
        <v>235</v>
      </c>
      <c r="F365" s="10">
        <v>885207.05280000006</v>
      </c>
      <c r="G365" s="10">
        <v>692</v>
      </c>
      <c r="H365" s="11">
        <v>300</v>
      </c>
      <c r="I365" s="3"/>
    </row>
    <row r="366" spans="1:9" s="4" customFormat="1" x14ac:dyDescent="0.5">
      <c r="A366" s="8">
        <v>2023</v>
      </c>
      <c r="B366" s="9" t="s">
        <v>27</v>
      </c>
      <c r="C366" s="9" t="s">
        <v>8</v>
      </c>
      <c r="D366" s="9" t="s">
        <v>165</v>
      </c>
      <c r="E366" s="9" t="s">
        <v>231</v>
      </c>
      <c r="F366" s="10">
        <v>894504.03839999996</v>
      </c>
      <c r="G366" s="10">
        <v>692</v>
      </c>
      <c r="H366" s="11">
        <v>300</v>
      </c>
      <c r="I366" s="3"/>
    </row>
    <row r="367" spans="1:9" s="4" customFormat="1" x14ac:dyDescent="0.5">
      <c r="A367" s="8">
        <v>2023</v>
      </c>
      <c r="B367" s="9" t="s">
        <v>19</v>
      </c>
      <c r="C367" s="9" t="s">
        <v>8</v>
      </c>
      <c r="D367" s="9" t="s">
        <v>119</v>
      </c>
      <c r="E367" s="9" t="s">
        <v>232</v>
      </c>
      <c r="F367" s="10">
        <v>905044</v>
      </c>
      <c r="G367" s="10">
        <v>413</v>
      </c>
      <c r="H367" s="11">
        <v>930</v>
      </c>
      <c r="I367" s="3"/>
    </row>
    <row r="368" spans="1:9" s="4" customFormat="1" x14ac:dyDescent="0.5">
      <c r="A368" s="8">
        <v>2023</v>
      </c>
      <c r="B368" s="9" t="s">
        <v>27</v>
      </c>
      <c r="C368" s="9" t="s">
        <v>8</v>
      </c>
      <c r="D368" s="9" t="s">
        <v>179</v>
      </c>
      <c r="E368" s="9" t="s">
        <v>233</v>
      </c>
      <c r="F368" s="10">
        <v>907698.4</v>
      </c>
      <c r="G368" s="10">
        <v>312</v>
      </c>
      <c r="H368" s="11">
        <v>983</v>
      </c>
      <c r="I368" s="3"/>
    </row>
    <row r="369" spans="1:9" s="4" customFormat="1" x14ac:dyDescent="0.5">
      <c r="A369" s="8">
        <v>2023</v>
      </c>
      <c r="B369" s="9" t="s">
        <v>21</v>
      </c>
      <c r="C369" s="9" t="s">
        <v>8</v>
      </c>
      <c r="D369" s="9" t="s">
        <v>121</v>
      </c>
      <c r="E369" s="9" t="s">
        <v>229</v>
      </c>
      <c r="F369" s="10">
        <v>911080.8</v>
      </c>
      <c r="G369" s="10">
        <v>610</v>
      </c>
      <c r="H369" s="11">
        <v>970</v>
      </c>
      <c r="I369" s="3"/>
    </row>
    <row r="370" spans="1:9" s="4" customFormat="1" x14ac:dyDescent="0.5">
      <c r="A370" s="8">
        <v>2023</v>
      </c>
      <c r="B370" s="9" t="s">
        <v>24</v>
      </c>
      <c r="C370" s="9" t="s">
        <v>8</v>
      </c>
      <c r="D370" s="9" t="s">
        <v>219</v>
      </c>
      <c r="E370" s="9" t="s">
        <v>231</v>
      </c>
      <c r="F370" s="10">
        <v>925289.12</v>
      </c>
      <c r="G370" s="10">
        <v>610</v>
      </c>
      <c r="H370" s="11">
        <v>970</v>
      </c>
      <c r="I370" s="3"/>
    </row>
    <row r="371" spans="1:9" s="4" customFormat="1" x14ac:dyDescent="0.5">
      <c r="A371" s="8">
        <v>2023</v>
      </c>
      <c r="B371" s="9" t="s">
        <v>26</v>
      </c>
      <c r="C371" s="9" t="s">
        <v>8</v>
      </c>
      <c r="D371" s="9" t="s">
        <v>65</v>
      </c>
      <c r="E371" s="9" t="s">
        <v>229</v>
      </c>
      <c r="F371" s="10">
        <v>928877.6</v>
      </c>
      <c r="G371" s="10">
        <v>577</v>
      </c>
      <c r="H371" s="11">
        <v>175</v>
      </c>
      <c r="I371" s="3"/>
    </row>
    <row r="372" spans="1:9" s="4" customFormat="1" x14ac:dyDescent="0.5">
      <c r="A372" s="8">
        <v>2023</v>
      </c>
      <c r="B372" s="9" t="s">
        <v>23</v>
      </c>
      <c r="C372" s="9" t="s">
        <v>8</v>
      </c>
      <c r="D372" s="9" t="s">
        <v>167</v>
      </c>
      <c r="E372" s="9" t="s">
        <v>235</v>
      </c>
      <c r="F372" s="10">
        <v>930804.13439999998</v>
      </c>
      <c r="G372" s="10">
        <v>839</v>
      </c>
      <c r="H372" s="11">
        <v>334</v>
      </c>
      <c r="I372" s="3"/>
    </row>
    <row r="373" spans="1:9" s="4" customFormat="1" x14ac:dyDescent="0.5">
      <c r="A373" s="8">
        <v>2023</v>
      </c>
      <c r="B373" s="9" t="s">
        <v>19</v>
      </c>
      <c r="C373" s="9" t="s">
        <v>8</v>
      </c>
      <c r="D373" s="9" t="s">
        <v>220</v>
      </c>
      <c r="E373" s="9" t="s">
        <v>229</v>
      </c>
      <c r="F373" s="10">
        <v>935664.8</v>
      </c>
      <c r="G373" s="10">
        <v>930</v>
      </c>
      <c r="H373" s="11">
        <v>563</v>
      </c>
      <c r="I373" s="3"/>
    </row>
    <row r="374" spans="1:9" s="4" customFormat="1" x14ac:dyDescent="0.5">
      <c r="A374" s="8">
        <v>2023</v>
      </c>
      <c r="B374" s="9" t="s">
        <v>23</v>
      </c>
      <c r="C374" s="9" t="s">
        <v>8</v>
      </c>
      <c r="D374" s="9" t="s">
        <v>107</v>
      </c>
      <c r="E374" s="9" t="s">
        <v>231</v>
      </c>
      <c r="F374" s="10">
        <v>937183.52</v>
      </c>
      <c r="G374" s="10">
        <v>784</v>
      </c>
      <c r="H374" s="11">
        <v>540</v>
      </c>
      <c r="I374" s="3"/>
    </row>
    <row r="375" spans="1:9" s="4" customFormat="1" x14ac:dyDescent="0.5">
      <c r="A375" s="8">
        <v>2023</v>
      </c>
      <c r="B375" s="9" t="s">
        <v>18</v>
      </c>
      <c r="C375" s="9" t="s">
        <v>8</v>
      </c>
      <c r="D375" s="9" t="s">
        <v>221</v>
      </c>
      <c r="E375" s="9" t="s">
        <v>229</v>
      </c>
      <c r="F375" s="10">
        <v>951972</v>
      </c>
      <c r="G375" s="10">
        <v>93</v>
      </c>
      <c r="H375" s="11">
        <v>852</v>
      </c>
      <c r="I375" s="3"/>
    </row>
    <row r="376" spans="1:9" s="4" customFormat="1" x14ac:dyDescent="0.5">
      <c r="A376" s="8">
        <v>2023</v>
      </c>
      <c r="B376" s="9" t="s">
        <v>23</v>
      </c>
      <c r="C376" s="9" t="s">
        <v>8</v>
      </c>
      <c r="D376" s="9" t="s">
        <v>222</v>
      </c>
      <c r="E376" s="9" t="s">
        <v>229</v>
      </c>
      <c r="F376" s="10">
        <v>954561.44</v>
      </c>
      <c r="G376" s="10">
        <v>784</v>
      </c>
      <c r="H376" s="11">
        <v>540</v>
      </c>
      <c r="I376" s="3"/>
    </row>
    <row r="377" spans="1:9" s="4" customFormat="1" x14ac:dyDescent="0.5">
      <c r="A377" s="8">
        <v>2023</v>
      </c>
      <c r="B377" s="9" t="s">
        <v>25</v>
      </c>
      <c r="C377" s="9" t="s">
        <v>8</v>
      </c>
      <c r="D377" s="9" t="s">
        <v>223</v>
      </c>
      <c r="E377" s="9" t="s">
        <v>231</v>
      </c>
      <c r="F377" s="10">
        <v>964759.04000000004</v>
      </c>
      <c r="G377" s="10">
        <v>210</v>
      </c>
      <c r="H377" s="11">
        <v>177</v>
      </c>
      <c r="I377" s="3"/>
    </row>
    <row r="378" spans="1:9" s="4" customFormat="1" x14ac:dyDescent="0.5">
      <c r="A378" s="8">
        <v>2023</v>
      </c>
      <c r="B378" s="9" t="s">
        <v>24</v>
      </c>
      <c r="C378" s="9" t="s">
        <v>8</v>
      </c>
      <c r="D378" s="9" t="s">
        <v>224</v>
      </c>
      <c r="E378" s="9" t="s">
        <v>230</v>
      </c>
      <c r="F378" s="10">
        <v>966179.2</v>
      </c>
      <c r="G378" s="10">
        <v>839</v>
      </c>
      <c r="H378" s="11">
        <v>983</v>
      </c>
      <c r="I378" s="3"/>
    </row>
    <row r="379" spans="1:9" s="4" customFormat="1" x14ac:dyDescent="0.5">
      <c r="A379" s="8">
        <v>2023</v>
      </c>
      <c r="B379" s="9" t="s">
        <v>24</v>
      </c>
      <c r="C379" s="9" t="s">
        <v>8</v>
      </c>
      <c r="D379" s="9" t="s">
        <v>225</v>
      </c>
      <c r="E379" s="9" t="s">
        <v>232</v>
      </c>
      <c r="F379" s="10">
        <v>972447.84</v>
      </c>
      <c r="G379" s="10">
        <v>413</v>
      </c>
      <c r="H379" s="11">
        <v>930</v>
      </c>
      <c r="I379" s="3"/>
    </row>
    <row r="380" spans="1:9" s="4" customFormat="1" x14ac:dyDescent="0.5">
      <c r="A380" s="8">
        <v>2023</v>
      </c>
      <c r="B380" s="9" t="s">
        <v>22</v>
      </c>
      <c r="C380" s="9" t="s">
        <v>8</v>
      </c>
      <c r="D380" s="9" t="s">
        <v>142</v>
      </c>
      <c r="E380" s="9" t="s">
        <v>229</v>
      </c>
      <c r="F380" s="10">
        <v>972776</v>
      </c>
      <c r="G380" s="10">
        <v>784</v>
      </c>
      <c r="H380" s="11">
        <v>540</v>
      </c>
      <c r="I380" s="3"/>
    </row>
    <row r="381" spans="1:9" s="4" customFormat="1" x14ac:dyDescent="0.5">
      <c r="A381" s="8">
        <v>2023</v>
      </c>
      <c r="B381" s="9" t="s">
        <v>21</v>
      </c>
      <c r="C381" s="9" t="s">
        <v>8</v>
      </c>
      <c r="D381" s="9" t="s">
        <v>90</v>
      </c>
      <c r="E381" s="9" t="s">
        <v>231</v>
      </c>
      <c r="F381" s="10">
        <v>972776</v>
      </c>
      <c r="G381" s="10">
        <v>312</v>
      </c>
      <c r="H381" s="11">
        <v>983</v>
      </c>
      <c r="I381" s="3"/>
    </row>
    <row r="382" spans="1:9" s="4" customFormat="1" x14ac:dyDescent="0.5">
      <c r="A382" s="8">
        <v>2023</v>
      </c>
      <c r="B382" s="9" t="s">
        <v>19</v>
      </c>
      <c r="C382" s="9" t="s">
        <v>8</v>
      </c>
      <c r="D382" s="9" t="s">
        <v>113</v>
      </c>
      <c r="E382" s="9" t="s">
        <v>234</v>
      </c>
      <c r="F382" s="10">
        <v>979711.89119999995</v>
      </c>
      <c r="G382" s="10">
        <v>872</v>
      </c>
      <c r="H382" s="11">
        <v>249</v>
      </c>
      <c r="I382" s="3"/>
    </row>
    <row r="383" spans="1:9" s="4" customFormat="1" x14ac:dyDescent="0.5">
      <c r="A383" s="8">
        <v>2023</v>
      </c>
      <c r="B383" s="9" t="s">
        <v>25</v>
      </c>
      <c r="C383" s="9" t="s">
        <v>8</v>
      </c>
      <c r="D383" s="9" t="s">
        <v>31</v>
      </c>
      <c r="E383" s="9" t="s">
        <v>229</v>
      </c>
      <c r="F383" s="10">
        <v>987995.67999999993</v>
      </c>
      <c r="G383" s="10">
        <v>210</v>
      </c>
      <c r="H383" s="11">
        <v>177</v>
      </c>
      <c r="I383" s="3"/>
    </row>
    <row r="384" spans="1:9" s="4" customFormat="1" x14ac:dyDescent="0.5">
      <c r="A384" s="8">
        <v>2023</v>
      </c>
      <c r="B384" s="9" t="s">
        <v>19</v>
      </c>
      <c r="C384" s="9" t="s">
        <v>8</v>
      </c>
      <c r="D384" s="9" t="s">
        <v>170</v>
      </c>
      <c r="E384" s="9" t="s">
        <v>235</v>
      </c>
      <c r="F384" s="10">
        <v>999312.24959999998</v>
      </c>
      <c r="G384" s="10">
        <v>610</v>
      </c>
      <c r="H384" s="11">
        <v>970</v>
      </c>
      <c r="I384" s="3"/>
    </row>
    <row r="385" spans="1:9" s="4" customFormat="1" x14ac:dyDescent="0.5">
      <c r="A385" s="8">
        <v>2023</v>
      </c>
      <c r="B385" s="9" t="s">
        <v>19</v>
      </c>
      <c r="C385" s="9" t="s">
        <v>8</v>
      </c>
      <c r="D385" s="9" t="s">
        <v>163</v>
      </c>
      <c r="E385" s="9" t="s">
        <v>232</v>
      </c>
      <c r="F385" s="10">
        <v>1001066.08</v>
      </c>
      <c r="G385" s="10">
        <v>692</v>
      </c>
      <c r="H385" s="11">
        <v>300</v>
      </c>
      <c r="I385" s="3"/>
    </row>
    <row r="386" spans="1:9" s="4" customFormat="1" x14ac:dyDescent="0.5">
      <c r="A386" s="8">
        <v>2023</v>
      </c>
      <c r="B386" s="9" t="s">
        <v>24</v>
      </c>
      <c r="C386" s="9" t="s">
        <v>8</v>
      </c>
      <c r="D386" s="9" t="s">
        <v>156</v>
      </c>
      <c r="E386" s="9" t="s">
        <v>233</v>
      </c>
      <c r="F386" s="10">
        <v>1001880.32</v>
      </c>
      <c r="G386" s="10">
        <v>839</v>
      </c>
      <c r="H386" s="11">
        <v>334</v>
      </c>
      <c r="I386" s="3"/>
    </row>
    <row r="387" spans="1:9" s="4" customFormat="1" x14ac:dyDescent="0.5">
      <c r="A387" s="8">
        <v>2023</v>
      </c>
      <c r="B387" s="9" t="s">
        <v>25</v>
      </c>
      <c r="C387" s="9" t="s">
        <v>8</v>
      </c>
      <c r="D387" s="9" t="s">
        <v>133</v>
      </c>
      <c r="E387" s="9" t="s">
        <v>229</v>
      </c>
      <c r="F387" s="10">
        <v>1010517.9840000001</v>
      </c>
      <c r="G387" s="10">
        <v>413</v>
      </c>
      <c r="H387" s="11">
        <v>930</v>
      </c>
      <c r="I387" s="3"/>
    </row>
    <row r="388" spans="1:9" s="4" customFormat="1" x14ac:dyDescent="0.5">
      <c r="A388" s="8">
        <v>2023</v>
      </c>
      <c r="B388" s="9" t="s">
        <v>27</v>
      </c>
      <c r="C388" s="9" t="s">
        <v>8</v>
      </c>
      <c r="D388" s="9" t="s">
        <v>168</v>
      </c>
      <c r="E388" s="9" t="s">
        <v>232</v>
      </c>
      <c r="F388" s="10">
        <v>1019351.2</v>
      </c>
      <c r="G388" s="10">
        <v>577</v>
      </c>
      <c r="H388" s="11">
        <v>175</v>
      </c>
      <c r="I388" s="3"/>
    </row>
    <row r="389" spans="1:9" s="4" customFormat="1" x14ac:dyDescent="0.5">
      <c r="A389" s="8">
        <v>2023</v>
      </c>
      <c r="B389" s="9" t="s">
        <v>19</v>
      </c>
      <c r="C389" s="9" t="s">
        <v>8</v>
      </c>
      <c r="D389" s="9" t="s">
        <v>60</v>
      </c>
      <c r="E389" s="9" t="s">
        <v>229</v>
      </c>
      <c r="F389" s="10">
        <v>1029721.28</v>
      </c>
      <c r="G389" s="10">
        <v>692</v>
      </c>
      <c r="H389" s="11">
        <v>300</v>
      </c>
      <c r="I389" s="3"/>
    </row>
    <row r="390" spans="1:9" s="4" customFormat="1" x14ac:dyDescent="0.5">
      <c r="A390" s="8">
        <v>2023</v>
      </c>
      <c r="B390" s="9" t="s">
        <v>25</v>
      </c>
      <c r="C390" s="9" t="s">
        <v>8</v>
      </c>
      <c r="D390" s="9" t="s">
        <v>115</v>
      </c>
      <c r="E390" s="9" t="s">
        <v>231</v>
      </c>
      <c r="F390" s="10">
        <v>1031250.08</v>
      </c>
      <c r="G390" s="10">
        <v>692</v>
      </c>
      <c r="H390" s="11">
        <v>300</v>
      </c>
      <c r="I390" s="3"/>
    </row>
    <row r="391" spans="1:9" s="4" customFormat="1" x14ac:dyDescent="0.5">
      <c r="A391" s="8">
        <v>2023</v>
      </c>
      <c r="B391" s="9" t="s">
        <v>19</v>
      </c>
      <c r="C391" s="9" t="s">
        <v>8</v>
      </c>
      <c r="D391" s="9" t="s">
        <v>88</v>
      </c>
      <c r="E391" s="9" t="s">
        <v>231</v>
      </c>
      <c r="F391" s="10">
        <v>1043473.536</v>
      </c>
      <c r="G391" s="10">
        <v>568</v>
      </c>
      <c r="H391" s="11">
        <v>505</v>
      </c>
      <c r="I391" s="3"/>
    </row>
    <row r="392" spans="1:9" s="4" customFormat="1" x14ac:dyDescent="0.5">
      <c r="A392" s="8">
        <v>2023</v>
      </c>
      <c r="B392" s="9" t="s">
        <v>24</v>
      </c>
      <c r="C392" s="9" t="s">
        <v>8</v>
      </c>
      <c r="D392" s="9" t="s">
        <v>226</v>
      </c>
      <c r="E392" s="9" t="s">
        <v>233</v>
      </c>
      <c r="F392" s="10">
        <v>1053598.56</v>
      </c>
      <c r="G392" s="10">
        <v>597</v>
      </c>
      <c r="H392" s="11">
        <v>287</v>
      </c>
      <c r="I392" s="3"/>
    </row>
    <row r="393" spans="1:9" s="4" customFormat="1" x14ac:dyDescent="0.5">
      <c r="A393" s="8">
        <v>2023</v>
      </c>
      <c r="B393" s="9" t="s">
        <v>21</v>
      </c>
      <c r="C393" s="9" t="s">
        <v>8</v>
      </c>
      <c r="D393" s="9" t="s">
        <v>169</v>
      </c>
      <c r="E393" s="9" t="s">
        <v>233</v>
      </c>
      <c r="F393" s="10">
        <v>1055253.92</v>
      </c>
      <c r="G393" s="10">
        <v>577</v>
      </c>
      <c r="H393" s="11">
        <v>175</v>
      </c>
      <c r="I393" s="3"/>
    </row>
    <row r="394" spans="1:9" s="4" customFormat="1" x14ac:dyDescent="0.5">
      <c r="A394" s="8">
        <v>2023</v>
      </c>
      <c r="B394" s="9" t="s">
        <v>23</v>
      </c>
      <c r="C394" s="9" t="s">
        <v>8</v>
      </c>
      <c r="D394" s="9" t="s">
        <v>130</v>
      </c>
      <c r="E394" s="9" t="s">
        <v>236</v>
      </c>
      <c r="F394" s="10">
        <v>1067035.3344000001</v>
      </c>
      <c r="G394" s="10">
        <v>413</v>
      </c>
      <c r="H394" s="11">
        <v>930</v>
      </c>
      <c r="I394" s="3"/>
    </row>
    <row r="395" spans="1:9" s="4" customFormat="1" x14ac:dyDescent="0.5">
      <c r="A395" s="8">
        <v>2023</v>
      </c>
      <c r="B395" s="9" t="s">
        <v>20</v>
      </c>
      <c r="C395" s="9" t="s">
        <v>8</v>
      </c>
      <c r="D395" s="9" t="s">
        <v>57</v>
      </c>
      <c r="E395" s="9" t="s">
        <v>230</v>
      </c>
      <c r="F395" s="10">
        <v>1070216</v>
      </c>
      <c r="G395" s="10">
        <v>93</v>
      </c>
      <c r="H395" s="11">
        <v>852</v>
      </c>
      <c r="I395" s="3"/>
    </row>
    <row r="396" spans="1:9" s="4" customFormat="1" x14ac:dyDescent="0.5">
      <c r="A396" s="8">
        <v>2023</v>
      </c>
      <c r="B396" s="9" t="s">
        <v>20</v>
      </c>
      <c r="C396" s="9" t="s">
        <v>8</v>
      </c>
      <c r="D396" s="9" t="s">
        <v>177</v>
      </c>
      <c r="E396" s="9" t="s">
        <v>234</v>
      </c>
      <c r="F396" s="10">
        <v>1092370.72</v>
      </c>
      <c r="G396" s="10">
        <v>795</v>
      </c>
      <c r="H396" s="11">
        <v>469</v>
      </c>
      <c r="I396" s="3"/>
    </row>
    <row r="397" spans="1:9" s="4" customFormat="1" x14ac:dyDescent="0.5">
      <c r="A397" s="8">
        <v>2023</v>
      </c>
      <c r="B397" s="9" t="s">
        <v>22</v>
      </c>
      <c r="C397" s="9" t="s">
        <v>8</v>
      </c>
      <c r="D397" s="9" t="s">
        <v>51</v>
      </c>
      <c r="E397" s="9" t="s">
        <v>230</v>
      </c>
      <c r="F397" s="10">
        <v>1109746.3104000001</v>
      </c>
      <c r="G397" s="10">
        <v>312</v>
      </c>
      <c r="H397" s="11">
        <v>983</v>
      </c>
      <c r="I397" s="3"/>
    </row>
    <row r="398" spans="1:9" s="4" customFormat="1" x14ac:dyDescent="0.5">
      <c r="A398" s="8">
        <v>2023</v>
      </c>
      <c r="B398" s="9" t="s">
        <v>25</v>
      </c>
      <c r="C398" s="9" t="s">
        <v>8</v>
      </c>
      <c r="D398" s="9" t="s">
        <v>34</v>
      </c>
      <c r="E398" s="9" t="s">
        <v>229</v>
      </c>
      <c r="F398" s="10">
        <v>1109916.6399999999</v>
      </c>
      <c r="G398" s="10">
        <v>839</v>
      </c>
      <c r="H398" s="11">
        <v>334</v>
      </c>
      <c r="I398" s="3"/>
    </row>
    <row r="399" spans="1:9" s="4" customFormat="1" x14ac:dyDescent="0.5">
      <c r="A399" s="8">
        <v>2023</v>
      </c>
      <c r="B399" s="9" t="s">
        <v>20</v>
      </c>
      <c r="C399" s="9" t="s">
        <v>8</v>
      </c>
      <c r="D399" s="9" t="s">
        <v>124</v>
      </c>
      <c r="E399" s="9" t="s">
        <v>235</v>
      </c>
      <c r="F399" s="10">
        <v>1113750.0863999999</v>
      </c>
      <c r="G399" s="10">
        <v>287</v>
      </c>
      <c r="H399" s="11">
        <v>744</v>
      </c>
      <c r="I399" s="3"/>
    </row>
    <row r="400" spans="1:9" s="4" customFormat="1" x14ac:dyDescent="0.5">
      <c r="A400" s="8">
        <v>2023</v>
      </c>
      <c r="B400" s="9" t="s">
        <v>19</v>
      </c>
      <c r="C400" s="9" t="s">
        <v>8</v>
      </c>
      <c r="D400" s="9" t="s">
        <v>120</v>
      </c>
      <c r="E400" s="9" t="s">
        <v>234</v>
      </c>
      <c r="F400" s="10">
        <v>1115106.72</v>
      </c>
      <c r="G400" s="10">
        <v>168</v>
      </c>
      <c r="H400" s="11">
        <v>97</v>
      </c>
      <c r="I400" s="3"/>
    </row>
    <row r="401" spans="1:9" s="4" customFormat="1" x14ac:dyDescent="0.5">
      <c r="A401" s="8">
        <v>2023</v>
      </c>
      <c r="B401" s="9" t="s">
        <v>18</v>
      </c>
      <c r="C401" s="9" t="s">
        <v>8</v>
      </c>
      <c r="D401" s="9" t="s">
        <v>183</v>
      </c>
      <c r="E401" s="9" t="s">
        <v>231</v>
      </c>
      <c r="F401" s="10">
        <v>1137886.4448000002</v>
      </c>
      <c r="G401" s="10">
        <v>839</v>
      </c>
      <c r="H401" s="11">
        <v>334</v>
      </c>
      <c r="I401" s="3"/>
    </row>
    <row r="402" spans="1:9" s="4" customFormat="1" x14ac:dyDescent="0.5">
      <c r="A402" s="8">
        <v>2023</v>
      </c>
      <c r="B402" s="9" t="s">
        <v>18</v>
      </c>
      <c r="C402" s="9" t="s">
        <v>8</v>
      </c>
      <c r="D402" s="9" t="s">
        <v>227</v>
      </c>
      <c r="E402" s="9" t="s">
        <v>236</v>
      </c>
      <c r="F402" s="10">
        <v>1155833.28</v>
      </c>
      <c r="G402" s="10">
        <v>839</v>
      </c>
      <c r="H402" s="11">
        <v>334</v>
      </c>
      <c r="I402" s="3"/>
    </row>
    <row r="403" spans="1:9" s="4" customFormat="1" x14ac:dyDescent="0.5">
      <c r="A403" s="8">
        <v>2023</v>
      </c>
      <c r="B403" s="9" t="s">
        <v>25</v>
      </c>
      <c r="C403" s="9" t="s">
        <v>8</v>
      </c>
      <c r="D403" s="9" t="s">
        <v>181</v>
      </c>
      <c r="E403" s="9" t="s">
        <v>230</v>
      </c>
      <c r="F403" s="10">
        <v>1179760.3776</v>
      </c>
      <c r="G403" s="10">
        <v>795</v>
      </c>
      <c r="H403" s="11">
        <v>469</v>
      </c>
      <c r="I403" s="3"/>
    </row>
    <row r="404" spans="1:9" s="4" customFormat="1" x14ac:dyDescent="0.5">
      <c r="A404" s="8">
        <v>2023</v>
      </c>
      <c r="B404" s="9" t="s">
        <v>20</v>
      </c>
      <c r="C404" s="9" t="s">
        <v>8</v>
      </c>
      <c r="D404" s="9" t="s">
        <v>182</v>
      </c>
      <c r="E404" s="9" t="s">
        <v>236</v>
      </c>
      <c r="F404" s="10">
        <v>1180128.0959999999</v>
      </c>
      <c r="G404" s="10">
        <v>610</v>
      </c>
      <c r="H404" s="11">
        <v>970</v>
      </c>
      <c r="I404" s="3"/>
    </row>
    <row r="405" spans="1:9" s="4" customFormat="1" x14ac:dyDescent="0.5">
      <c r="A405" s="8">
        <v>2023</v>
      </c>
      <c r="B405" s="9" t="s">
        <v>25</v>
      </c>
      <c r="C405" s="9" t="s">
        <v>8</v>
      </c>
      <c r="D405" s="9" t="s">
        <v>175</v>
      </c>
      <c r="E405" s="9" t="s">
        <v>229</v>
      </c>
      <c r="F405" s="10">
        <v>1198709.9711999998</v>
      </c>
      <c r="G405" s="10">
        <v>413</v>
      </c>
      <c r="H405" s="11">
        <v>930</v>
      </c>
      <c r="I405" s="3"/>
    </row>
    <row r="406" spans="1:9" s="4" customFormat="1" x14ac:dyDescent="0.5">
      <c r="A406" s="8">
        <v>2022</v>
      </c>
      <c r="B406" s="9" t="s">
        <v>22</v>
      </c>
      <c r="C406" s="9" t="s">
        <v>8</v>
      </c>
      <c r="D406" s="9" t="s">
        <v>29</v>
      </c>
      <c r="E406" s="9" t="s">
        <v>234</v>
      </c>
      <c r="F406" s="10">
        <v>117088.16</v>
      </c>
      <c r="G406" s="10">
        <v>784</v>
      </c>
      <c r="H406" s="11">
        <v>540</v>
      </c>
      <c r="I406" s="3"/>
    </row>
    <row r="407" spans="1:9" s="4" customFormat="1" x14ac:dyDescent="0.5">
      <c r="A407" s="8">
        <v>2022</v>
      </c>
      <c r="B407" s="9" t="s">
        <v>25</v>
      </c>
      <c r="C407" s="9" t="s">
        <v>8</v>
      </c>
      <c r="D407" s="9" t="s">
        <v>190</v>
      </c>
      <c r="E407" s="9" t="s">
        <v>231</v>
      </c>
      <c r="F407" s="10">
        <v>117088.16</v>
      </c>
      <c r="G407" s="10">
        <v>795</v>
      </c>
      <c r="H407" s="11">
        <v>469</v>
      </c>
      <c r="I407" s="3"/>
    </row>
    <row r="408" spans="1:9" s="4" customFormat="1" x14ac:dyDescent="0.5">
      <c r="A408" s="8">
        <v>2022</v>
      </c>
      <c r="B408" s="9" t="s">
        <v>26</v>
      </c>
      <c r="C408" s="9" t="s">
        <v>8</v>
      </c>
      <c r="D408" s="9" t="s">
        <v>31</v>
      </c>
      <c r="E408" s="9" t="s">
        <v>230</v>
      </c>
      <c r="F408" s="10">
        <v>129596.32</v>
      </c>
      <c r="G408" s="10">
        <v>930</v>
      </c>
      <c r="H408" s="11">
        <v>563</v>
      </c>
      <c r="I408" s="3"/>
    </row>
    <row r="409" spans="1:9" s="4" customFormat="1" x14ac:dyDescent="0.5">
      <c r="A409" s="8">
        <v>2022</v>
      </c>
      <c r="B409" s="9" t="s">
        <v>22</v>
      </c>
      <c r="C409" s="9" t="s">
        <v>9</v>
      </c>
      <c r="D409" s="9" t="s">
        <v>32</v>
      </c>
      <c r="E409" s="9" t="s">
        <v>230</v>
      </c>
      <c r="F409" s="10">
        <v>138432</v>
      </c>
      <c r="G409" s="10">
        <v>312</v>
      </c>
      <c r="H409" s="11">
        <v>983</v>
      </c>
      <c r="I409" s="3"/>
    </row>
    <row r="410" spans="1:9" s="4" customFormat="1" x14ac:dyDescent="0.5">
      <c r="A410" s="8">
        <v>2022</v>
      </c>
      <c r="B410" s="9" t="s">
        <v>26</v>
      </c>
      <c r="C410" s="9" t="s">
        <v>8</v>
      </c>
      <c r="D410" s="9" t="s">
        <v>35</v>
      </c>
      <c r="E410" s="9" t="s">
        <v>233</v>
      </c>
      <c r="F410" s="10">
        <v>148080.79999999999</v>
      </c>
      <c r="G410" s="10">
        <v>839</v>
      </c>
      <c r="H410" s="11">
        <v>334</v>
      </c>
      <c r="I410" s="3"/>
    </row>
    <row r="411" spans="1:9" s="4" customFormat="1" x14ac:dyDescent="0.5">
      <c r="A411" s="8">
        <v>2022</v>
      </c>
      <c r="B411" s="9" t="s">
        <v>23</v>
      </c>
      <c r="C411" s="9" t="s">
        <v>8</v>
      </c>
      <c r="D411" s="9" t="s">
        <v>36</v>
      </c>
      <c r="E411" s="9" t="s">
        <v>232</v>
      </c>
      <c r="F411" s="10">
        <v>151026.4</v>
      </c>
      <c r="G411" s="10">
        <v>568</v>
      </c>
      <c r="H411" s="11">
        <v>505</v>
      </c>
      <c r="I411" s="3"/>
    </row>
    <row r="412" spans="1:9" s="4" customFormat="1" x14ac:dyDescent="0.5">
      <c r="A412" s="8">
        <v>2022</v>
      </c>
      <c r="B412" s="9" t="s">
        <v>25</v>
      </c>
      <c r="C412" s="9" t="s">
        <v>10</v>
      </c>
      <c r="D412" s="9" t="s">
        <v>37</v>
      </c>
      <c r="E412" s="9" t="s">
        <v>233</v>
      </c>
      <c r="F412" s="10">
        <v>161066.07999999999</v>
      </c>
      <c r="G412" s="10">
        <v>210</v>
      </c>
      <c r="H412" s="11">
        <v>177</v>
      </c>
      <c r="I412" s="3"/>
    </row>
    <row r="413" spans="1:9" s="4" customFormat="1" x14ac:dyDescent="0.5">
      <c r="A413" s="8">
        <v>2022</v>
      </c>
      <c r="B413" s="9" t="s">
        <v>23</v>
      </c>
      <c r="C413" s="9" t="s">
        <v>8</v>
      </c>
      <c r="D413" s="9" t="s">
        <v>38</v>
      </c>
      <c r="E413" s="9" t="s">
        <v>232</v>
      </c>
      <c r="F413" s="10">
        <v>164317.44</v>
      </c>
      <c r="G413" s="10">
        <v>568</v>
      </c>
      <c r="H413" s="11">
        <v>505</v>
      </c>
      <c r="I413" s="3"/>
    </row>
    <row r="414" spans="1:9" s="4" customFormat="1" x14ac:dyDescent="0.5">
      <c r="A414" s="8">
        <v>2022</v>
      </c>
      <c r="B414" s="9" t="s">
        <v>18</v>
      </c>
      <c r="C414" s="9" t="s">
        <v>11</v>
      </c>
      <c r="D414" s="9" t="s">
        <v>172</v>
      </c>
      <c r="E414" s="9" t="s">
        <v>229</v>
      </c>
      <c r="F414" s="10">
        <v>164317.44</v>
      </c>
      <c r="G414" s="10">
        <v>839</v>
      </c>
      <c r="H414" s="11">
        <v>983</v>
      </c>
      <c r="I414" s="3"/>
    </row>
    <row r="415" spans="1:9" s="4" customFormat="1" x14ac:dyDescent="0.5">
      <c r="A415" s="8">
        <v>2022</v>
      </c>
      <c r="B415" s="9" t="s">
        <v>21</v>
      </c>
      <c r="C415" s="9" t="s">
        <v>8</v>
      </c>
      <c r="D415" s="9" t="s">
        <v>39</v>
      </c>
      <c r="E415" s="9" t="s">
        <v>229</v>
      </c>
      <c r="F415" s="10">
        <v>166970.72</v>
      </c>
      <c r="G415" s="10">
        <v>577</v>
      </c>
      <c r="H415" s="11">
        <v>175</v>
      </c>
      <c r="I415" s="3"/>
    </row>
    <row r="416" spans="1:9" s="4" customFormat="1" x14ac:dyDescent="0.5">
      <c r="A416" s="8">
        <v>2022</v>
      </c>
      <c r="B416" s="9" t="s">
        <v>25</v>
      </c>
      <c r="C416" s="9" t="s">
        <v>8</v>
      </c>
      <c r="D416" s="9" t="s">
        <v>40</v>
      </c>
      <c r="E416" s="9" t="s">
        <v>233</v>
      </c>
      <c r="F416" s="10">
        <v>167547.51999999999</v>
      </c>
      <c r="G416" s="10">
        <v>413</v>
      </c>
      <c r="H416" s="11">
        <v>930</v>
      </c>
      <c r="I416" s="3"/>
    </row>
    <row r="417" spans="1:9" s="4" customFormat="1" x14ac:dyDescent="0.5">
      <c r="A417" s="8">
        <v>2022</v>
      </c>
      <c r="B417" s="9" t="s">
        <v>25</v>
      </c>
      <c r="C417" s="9" t="s">
        <v>8</v>
      </c>
      <c r="D417" s="9" t="s">
        <v>41</v>
      </c>
      <c r="E417" s="9" t="s">
        <v>229</v>
      </c>
      <c r="F417" s="10">
        <v>170051.84</v>
      </c>
      <c r="G417" s="10">
        <v>413</v>
      </c>
      <c r="H417" s="11">
        <v>930</v>
      </c>
      <c r="I417" s="3"/>
    </row>
    <row r="418" spans="1:9" s="4" customFormat="1" x14ac:dyDescent="0.5">
      <c r="A418" s="8">
        <v>2022</v>
      </c>
      <c r="B418" s="9" t="s">
        <v>19</v>
      </c>
      <c r="C418" s="9" t="s">
        <v>8</v>
      </c>
      <c r="D418" s="9" t="s">
        <v>42</v>
      </c>
      <c r="E418" s="9" t="s">
        <v>233</v>
      </c>
      <c r="F418" s="10">
        <v>170291.52</v>
      </c>
      <c r="G418" s="10">
        <v>312</v>
      </c>
      <c r="H418" s="11">
        <v>983</v>
      </c>
      <c r="I418" s="3"/>
    </row>
    <row r="419" spans="1:9" s="4" customFormat="1" x14ac:dyDescent="0.5">
      <c r="A419" s="8">
        <v>2022</v>
      </c>
      <c r="B419" s="9" t="s">
        <v>18</v>
      </c>
      <c r="C419" s="9" t="s">
        <v>8</v>
      </c>
      <c r="D419" s="9" t="s">
        <v>116</v>
      </c>
      <c r="E419" s="9" t="s">
        <v>232</v>
      </c>
      <c r="F419" s="10">
        <v>181082.72</v>
      </c>
      <c r="G419" s="10">
        <v>93</v>
      </c>
      <c r="H419" s="11">
        <v>852</v>
      </c>
      <c r="I419" s="3"/>
    </row>
    <row r="420" spans="1:9" s="4" customFormat="1" x14ac:dyDescent="0.5">
      <c r="A420" s="8">
        <v>2022</v>
      </c>
      <c r="B420" s="9" t="s">
        <v>27</v>
      </c>
      <c r="C420" s="9" t="s">
        <v>8</v>
      </c>
      <c r="D420" s="9" t="s">
        <v>43</v>
      </c>
      <c r="E420" s="9" t="s">
        <v>231</v>
      </c>
      <c r="F420" s="10">
        <v>181082.72</v>
      </c>
      <c r="G420" s="10">
        <v>692</v>
      </c>
      <c r="H420" s="11">
        <v>300</v>
      </c>
      <c r="I420" s="3"/>
    </row>
    <row r="421" spans="1:9" s="4" customFormat="1" x14ac:dyDescent="0.5">
      <c r="A421" s="8">
        <v>2022</v>
      </c>
      <c r="B421" s="9" t="s">
        <v>22</v>
      </c>
      <c r="C421" s="9" t="s">
        <v>8</v>
      </c>
      <c r="D421" s="9" t="s">
        <v>222</v>
      </c>
      <c r="E421" s="9" t="s">
        <v>231</v>
      </c>
      <c r="F421" s="10">
        <v>185506.72</v>
      </c>
      <c r="G421" s="10">
        <v>413</v>
      </c>
      <c r="H421" s="11">
        <v>930</v>
      </c>
      <c r="I421" s="3"/>
    </row>
    <row r="422" spans="1:9" s="4" customFormat="1" x14ac:dyDescent="0.5">
      <c r="A422" s="8">
        <v>2022</v>
      </c>
      <c r="B422" s="9" t="s">
        <v>19</v>
      </c>
      <c r="C422" s="9" t="s">
        <v>8</v>
      </c>
      <c r="D422" s="9" t="s">
        <v>102</v>
      </c>
      <c r="E422" s="9" t="s">
        <v>236</v>
      </c>
      <c r="F422" s="10">
        <v>185506.72</v>
      </c>
      <c r="G422" s="10">
        <v>692</v>
      </c>
      <c r="H422" s="11">
        <v>300</v>
      </c>
      <c r="I422" s="3"/>
    </row>
    <row r="423" spans="1:9" s="4" customFormat="1" x14ac:dyDescent="0.5">
      <c r="A423" s="8">
        <v>2022</v>
      </c>
      <c r="B423" s="9" t="s">
        <v>23</v>
      </c>
      <c r="C423" s="9" t="s">
        <v>8</v>
      </c>
      <c r="D423" s="9" t="s">
        <v>134</v>
      </c>
      <c r="E423" s="9" t="s">
        <v>236</v>
      </c>
      <c r="F423" s="10">
        <v>185506.72</v>
      </c>
      <c r="G423" s="10">
        <v>839</v>
      </c>
      <c r="H423" s="11">
        <v>983</v>
      </c>
      <c r="I423" s="3"/>
    </row>
    <row r="424" spans="1:9" s="4" customFormat="1" x14ac:dyDescent="0.5">
      <c r="A424" s="8">
        <v>2022</v>
      </c>
      <c r="B424" s="9" t="s">
        <v>24</v>
      </c>
      <c r="C424" s="9" t="s">
        <v>12</v>
      </c>
      <c r="D424" s="9" t="s">
        <v>104</v>
      </c>
      <c r="E424" s="9" t="s">
        <v>236</v>
      </c>
      <c r="F424" s="10">
        <v>185506.72</v>
      </c>
      <c r="G424" s="10">
        <v>930</v>
      </c>
      <c r="H424" s="11">
        <v>563</v>
      </c>
      <c r="I424" s="3"/>
    </row>
    <row r="425" spans="1:9" s="4" customFormat="1" x14ac:dyDescent="0.5">
      <c r="A425" s="8">
        <v>2022</v>
      </c>
      <c r="B425" s="9" t="s">
        <v>19</v>
      </c>
      <c r="C425" s="9" t="s">
        <v>8</v>
      </c>
      <c r="D425" s="9" t="s">
        <v>54</v>
      </c>
      <c r="E425" s="9" t="s">
        <v>236</v>
      </c>
      <c r="F425" s="10">
        <v>185506.72</v>
      </c>
      <c r="G425" s="10">
        <v>692</v>
      </c>
      <c r="H425" s="11">
        <v>300</v>
      </c>
      <c r="I425" s="3"/>
    </row>
    <row r="426" spans="1:9" s="4" customFormat="1" x14ac:dyDescent="0.5">
      <c r="A426" s="8">
        <v>2022</v>
      </c>
      <c r="B426" s="9" t="s">
        <v>19</v>
      </c>
      <c r="C426" s="9" t="s">
        <v>8</v>
      </c>
      <c r="D426" s="9" t="s">
        <v>123</v>
      </c>
      <c r="E426" s="9" t="s">
        <v>236</v>
      </c>
      <c r="F426" s="10">
        <v>185506.72</v>
      </c>
      <c r="G426" s="10">
        <v>413</v>
      </c>
      <c r="H426" s="11">
        <v>930</v>
      </c>
      <c r="I426" s="3"/>
    </row>
    <row r="427" spans="1:9" s="4" customFormat="1" x14ac:dyDescent="0.5">
      <c r="A427" s="8">
        <v>2022</v>
      </c>
      <c r="B427" s="9" t="s">
        <v>19</v>
      </c>
      <c r="C427" s="9" t="s">
        <v>8</v>
      </c>
      <c r="D427" s="9" t="s">
        <v>120</v>
      </c>
      <c r="E427" s="9" t="s">
        <v>236</v>
      </c>
      <c r="F427" s="10">
        <v>185506.72</v>
      </c>
      <c r="G427" s="10">
        <v>872</v>
      </c>
      <c r="H427" s="11">
        <v>249</v>
      </c>
      <c r="I427" s="3"/>
    </row>
    <row r="428" spans="1:9" s="4" customFormat="1" x14ac:dyDescent="0.5">
      <c r="A428" s="8">
        <v>2022</v>
      </c>
      <c r="B428" s="9" t="s">
        <v>24</v>
      </c>
      <c r="C428" s="9" t="s">
        <v>12</v>
      </c>
      <c r="D428" s="9" t="s">
        <v>108</v>
      </c>
      <c r="E428" s="9" t="s">
        <v>236</v>
      </c>
      <c r="F428" s="10">
        <v>185506.72</v>
      </c>
      <c r="G428" s="10">
        <v>930</v>
      </c>
      <c r="H428" s="11">
        <v>563</v>
      </c>
      <c r="I428" s="3"/>
    </row>
    <row r="429" spans="1:9" s="4" customFormat="1" x14ac:dyDescent="0.5">
      <c r="A429" s="8">
        <v>2022</v>
      </c>
      <c r="B429" s="9" t="s">
        <v>19</v>
      </c>
      <c r="C429" s="9" t="s">
        <v>8</v>
      </c>
      <c r="D429" s="9" t="s">
        <v>69</v>
      </c>
      <c r="E429" s="9" t="s">
        <v>236</v>
      </c>
      <c r="F429" s="10">
        <v>185506.72</v>
      </c>
      <c r="G429" s="10">
        <v>413</v>
      </c>
      <c r="H429" s="11">
        <v>930</v>
      </c>
      <c r="I429" s="3"/>
    </row>
    <row r="430" spans="1:9" s="4" customFormat="1" x14ac:dyDescent="0.5">
      <c r="A430" s="8">
        <v>2022</v>
      </c>
      <c r="B430" s="9" t="s">
        <v>24</v>
      </c>
      <c r="C430" s="9" t="s">
        <v>12</v>
      </c>
      <c r="D430" s="9" t="s">
        <v>179</v>
      </c>
      <c r="E430" s="9" t="s">
        <v>236</v>
      </c>
      <c r="F430" s="10">
        <v>185506.72</v>
      </c>
      <c r="G430" s="10">
        <v>930</v>
      </c>
      <c r="H430" s="11">
        <v>563</v>
      </c>
      <c r="I430" s="3"/>
    </row>
    <row r="431" spans="1:9" s="4" customFormat="1" x14ac:dyDescent="0.5">
      <c r="A431" s="8">
        <v>2022</v>
      </c>
      <c r="B431" s="9" t="s">
        <v>19</v>
      </c>
      <c r="C431" s="9" t="s">
        <v>8</v>
      </c>
      <c r="D431" s="9" t="s">
        <v>44</v>
      </c>
      <c r="E431" s="9" t="s">
        <v>236</v>
      </c>
      <c r="F431" s="10">
        <v>185506.72</v>
      </c>
      <c r="G431" s="10">
        <v>287</v>
      </c>
      <c r="H431" s="11">
        <v>744</v>
      </c>
      <c r="I431" s="3"/>
    </row>
    <row r="432" spans="1:9" s="4" customFormat="1" x14ac:dyDescent="0.5">
      <c r="A432" s="8">
        <v>2022</v>
      </c>
      <c r="B432" s="9" t="s">
        <v>26</v>
      </c>
      <c r="C432" s="9" t="s">
        <v>8</v>
      </c>
      <c r="D432" s="9" t="s">
        <v>45</v>
      </c>
      <c r="E432" s="9" t="s">
        <v>230</v>
      </c>
      <c r="F432" s="10">
        <v>185514.56</v>
      </c>
      <c r="G432" s="10">
        <v>749</v>
      </c>
      <c r="H432" s="11">
        <v>648</v>
      </c>
      <c r="I432" s="3"/>
    </row>
    <row r="433" spans="1:9" s="4" customFormat="1" x14ac:dyDescent="0.5">
      <c r="A433" s="8">
        <v>2022</v>
      </c>
      <c r="B433" s="9" t="s">
        <v>19</v>
      </c>
      <c r="C433" s="9" t="s">
        <v>8</v>
      </c>
      <c r="D433" s="9" t="s">
        <v>46</v>
      </c>
      <c r="E433" s="9" t="s">
        <v>234</v>
      </c>
      <c r="F433" s="10">
        <v>186455.36</v>
      </c>
      <c r="G433" s="10">
        <v>872</v>
      </c>
      <c r="H433" s="11">
        <v>249</v>
      </c>
      <c r="I433" s="3"/>
    </row>
    <row r="434" spans="1:9" s="4" customFormat="1" x14ac:dyDescent="0.5">
      <c r="A434" s="8">
        <v>2022</v>
      </c>
      <c r="B434" s="9" t="s">
        <v>25</v>
      </c>
      <c r="C434" s="9" t="s">
        <v>13</v>
      </c>
      <c r="D434" s="9" t="s">
        <v>48</v>
      </c>
      <c r="E434" s="9" t="s">
        <v>231</v>
      </c>
      <c r="F434" s="10">
        <v>199691.51999999999</v>
      </c>
      <c r="G434" s="10">
        <v>839</v>
      </c>
      <c r="H434" s="11">
        <v>334</v>
      </c>
      <c r="I434" s="3"/>
    </row>
    <row r="435" spans="1:9" s="4" customFormat="1" x14ac:dyDescent="0.5">
      <c r="A435" s="8">
        <v>2022</v>
      </c>
      <c r="B435" s="9" t="s">
        <v>22</v>
      </c>
      <c r="C435" s="9" t="s">
        <v>9</v>
      </c>
      <c r="D435" s="9" t="s">
        <v>49</v>
      </c>
      <c r="E435" s="9" t="s">
        <v>230</v>
      </c>
      <c r="F435" s="10">
        <v>204794.23999999999</v>
      </c>
      <c r="G435" s="10">
        <v>312</v>
      </c>
      <c r="H435" s="11">
        <v>983</v>
      </c>
      <c r="I435" s="3"/>
    </row>
    <row r="436" spans="1:9" s="4" customFormat="1" x14ac:dyDescent="0.5">
      <c r="A436" s="8">
        <v>2022</v>
      </c>
      <c r="B436" s="9" t="s">
        <v>22</v>
      </c>
      <c r="C436" s="9" t="s">
        <v>8</v>
      </c>
      <c r="D436" s="9" t="s">
        <v>50</v>
      </c>
      <c r="E436" s="9" t="s">
        <v>234</v>
      </c>
      <c r="F436" s="10">
        <v>206253.6</v>
      </c>
      <c r="G436" s="10">
        <v>784</v>
      </c>
      <c r="H436" s="11">
        <v>540</v>
      </c>
      <c r="I436" s="3"/>
    </row>
    <row r="437" spans="1:9" s="4" customFormat="1" x14ac:dyDescent="0.5">
      <c r="A437" s="8">
        <v>2022</v>
      </c>
      <c r="B437" s="9" t="s">
        <v>19</v>
      </c>
      <c r="C437" s="9" t="s">
        <v>8</v>
      </c>
      <c r="D437" s="9" t="s">
        <v>192</v>
      </c>
      <c r="E437" s="9" t="s">
        <v>230</v>
      </c>
      <c r="F437" s="10">
        <v>209059.20000000001</v>
      </c>
      <c r="G437" s="10">
        <v>784</v>
      </c>
      <c r="H437" s="11">
        <v>540</v>
      </c>
      <c r="I437" s="3"/>
    </row>
    <row r="438" spans="1:9" s="4" customFormat="1" x14ac:dyDescent="0.5">
      <c r="A438" s="8">
        <v>2022</v>
      </c>
      <c r="B438" s="9" t="s">
        <v>21</v>
      </c>
      <c r="C438" s="9" t="s">
        <v>9</v>
      </c>
      <c r="D438" s="9" t="s">
        <v>52</v>
      </c>
      <c r="E438" s="9" t="s">
        <v>234</v>
      </c>
      <c r="F438" s="10">
        <v>210140</v>
      </c>
      <c r="G438" s="10">
        <v>597</v>
      </c>
      <c r="H438" s="11">
        <v>287</v>
      </c>
      <c r="I438" s="3"/>
    </row>
    <row r="439" spans="1:9" s="4" customFormat="1" x14ac:dyDescent="0.5">
      <c r="A439" s="8">
        <v>2022</v>
      </c>
      <c r="B439" s="9" t="s">
        <v>24</v>
      </c>
      <c r="C439" s="9" t="s">
        <v>8</v>
      </c>
      <c r="D439" s="9" t="s">
        <v>53</v>
      </c>
      <c r="E439" s="9" t="s">
        <v>232</v>
      </c>
      <c r="F439" s="10">
        <v>218204</v>
      </c>
      <c r="G439" s="10">
        <v>610</v>
      </c>
      <c r="H439" s="11">
        <v>970</v>
      </c>
      <c r="I439" s="3"/>
    </row>
    <row r="440" spans="1:9" s="4" customFormat="1" x14ac:dyDescent="0.5">
      <c r="A440" s="8">
        <v>2022</v>
      </c>
      <c r="B440" s="9" t="s">
        <v>26</v>
      </c>
      <c r="C440" s="9" t="s">
        <v>8</v>
      </c>
      <c r="D440" s="9" t="s">
        <v>56</v>
      </c>
      <c r="E440" s="9" t="s">
        <v>234</v>
      </c>
      <c r="F440" s="10">
        <v>225676.64</v>
      </c>
      <c r="G440" s="10">
        <v>597</v>
      </c>
      <c r="H440" s="11">
        <v>287</v>
      </c>
      <c r="I440" s="3"/>
    </row>
    <row r="441" spans="1:9" s="4" customFormat="1" x14ac:dyDescent="0.5">
      <c r="A441" s="8">
        <v>2022</v>
      </c>
      <c r="B441" s="9" t="s">
        <v>20</v>
      </c>
      <c r="C441" s="9" t="s">
        <v>8</v>
      </c>
      <c r="D441" s="9" t="s">
        <v>185</v>
      </c>
      <c r="E441" s="9" t="s">
        <v>231</v>
      </c>
      <c r="F441" s="10">
        <v>226497.6</v>
      </c>
      <c r="G441" s="10">
        <v>795</v>
      </c>
      <c r="H441" s="11">
        <v>469</v>
      </c>
      <c r="I441" s="3"/>
    </row>
    <row r="442" spans="1:9" s="4" customFormat="1" x14ac:dyDescent="0.5">
      <c r="A442" s="8">
        <v>2022</v>
      </c>
      <c r="B442" s="9" t="s">
        <v>26</v>
      </c>
      <c r="C442" s="9" t="s">
        <v>8</v>
      </c>
      <c r="D442" s="9" t="s">
        <v>57</v>
      </c>
      <c r="E442" s="9" t="s">
        <v>230</v>
      </c>
      <c r="F442" s="10">
        <v>230400.8</v>
      </c>
      <c r="G442" s="10">
        <v>839</v>
      </c>
      <c r="H442" s="11">
        <v>983</v>
      </c>
      <c r="I442" s="3"/>
    </row>
    <row r="443" spans="1:9" s="4" customFormat="1" x14ac:dyDescent="0.5">
      <c r="A443" s="8">
        <v>2022</v>
      </c>
      <c r="B443" s="9" t="s">
        <v>21</v>
      </c>
      <c r="C443" s="9" t="s">
        <v>8</v>
      </c>
      <c r="D443" s="9" t="s">
        <v>58</v>
      </c>
      <c r="E443" s="9" t="s">
        <v>230</v>
      </c>
      <c r="F443" s="10">
        <v>234766.56</v>
      </c>
      <c r="G443" s="10">
        <v>839</v>
      </c>
      <c r="H443" s="11">
        <v>983</v>
      </c>
      <c r="I443" s="3"/>
    </row>
    <row r="444" spans="1:9" s="4" customFormat="1" x14ac:dyDescent="0.5">
      <c r="A444" s="8">
        <v>2022</v>
      </c>
      <c r="B444" s="9" t="s">
        <v>26</v>
      </c>
      <c r="C444" s="9" t="s">
        <v>14</v>
      </c>
      <c r="D444" s="9" t="s">
        <v>59</v>
      </c>
      <c r="E444" s="9" t="s">
        <v>234</v>
      </c>
      <c r="F444" s="10">
        <v>238955.36</v>
      </c>
      <c r="G444" s="10">
        <v>749</v>
      </c>
      <c r="H444" s="11">
        <v>648</v>
      </c>
      <c r="I444" s="3"/>
    </row>
    <row r="445" spans="1:9" s="4" customFormat="1" x14ac:dyDescent="0.5">
      <c r="A445" s="8">
        <v>2022</v>
      </c>
      <c r="B445" s="9" t="s">
        <v>19</v>
      </c>
      <c r="C445" s="9" t="s">
        <v>8</v>
      </c>
      <c r="D445" s="9" t="s">
        <v>60</v>
      </c>
      <c r="E445" s="9" t="s">
        <v>231</v>
      </c>
      <c r="F445" s="10">
        <v>249211.2</v>
      </c>
      <c r="G445" s="10">
        <v>403</v>
      </c>
      <c r="H445" s="11">
        <v>953</v>
      </c>
      <c r="I445" s="3"/>
    </row>
    <row r="446" spans="1:9" s="4" customFormat="1" x14ac:dyDescent="0.5">
      <c r="A446" s="8">
        <v>2022</v>
      </c>
      <c r="B446" s="9" t="s">
        <v>22</v>
      </c>
      <c r="C446" s="9" t="s">
        <v>8</v>
      </c>
      <c r="D446" s="9" t="s">
        <v>62</v>
      </c>
      <c r="E446" s="9" t="s">
        <v>234</v>
      </c>
      <c r="F446" s="10">
        <v>255250.24</v>
      </c>
      <c r="G446" s="10">
        <v>784</v>
      </c>
      <c r="H446" s="11">
        <v>540</v>
      </c>
      <c r="I446" s="3"/>
    </row>
    <row r="447" spans="1:9" s="4" customFormat="1" x14ac:dyDescent="0.5">
      <c r="A447" s="8">
        <v>2022</v>
      </c>
      <c r="B447" s="9" t="s">
        <v>23</v>
      </c>
      <c r="C447" s="9" t="s">
        <v>8</v>
      </c>
      <c r="D447" s="9" t="s">
        <v>63</v>
      </c>
      <c r="E447" s="9" t="s">
        <v>231</v>
      </c>
      <c r="F447" s="10">
        <v>263220.15999999997</v>
      </c>
      <c r="G447" s="10">
        <v>784</v>
      </c>
      <c r="H447" s="11">
        <v>540</v>
      </c>
      <c r="I447" s="3"/>
    </row>
    <row r="448" spans="1:9" s="4" customFormat="1" x14ac:dyDescent="0.5">
      <c r="A448" s="8">
        <v>2022</v>
      </c>
      <c r="B448" s="9" t="s">
        <v>18</v>
      </c>
      <c r="C448" s="9" t="s">
        <v>11</v>
      </c>
      <c r="D448" s="9" t="s">
        <v>64</v>
      </c>
      <c r="E448" s="9" t="s">
        <v>229</v>
      </c>
      <c r="F448" s="10">
        <v>266508.48</v>
      </c>
      <c r="G448" s="10">
        <v>839</v>
      </c>
      <c r="H448" s="11">
        <v>983</v>
      </c>
      <c r="I448" s="3"/>
    </row>
    <row r="449" spans="1:9" s="4" customFormat="1" x14ac:dyDescent="0.5">
      <c r="A449" s="8">
        <v>2022</v>
      </c>
      <c r="B449" s="9" t="s">
        <v>24</v>
      </c>
      <c r="C449" s="9" t="s">
        <v>8</v>
      </c>
      <c r="D449" s="9" t="s">
        <v>65</v>
      </c>
      <c r="E449" s="9" t="s">
        <v>232</v>
      </c>
      <c r="F449" s="10">
        <v>268141.44</v>
      </c>
      <c r="G449" s="10">
        <v>610</v>
      </c>
      <c r="H449" s="11">
        <v>970</v>
      </c>
      <c r="I449" s="3"/>
    </row>
    <row r="450" spans="1:9" s="4" customFormat="1" x14ac:dyDescent="0.5">
      <c r="A450" s="8">
        <v>2022</v>
      </c>
      <c r="B450" s="9" t="s">
        <v>24</v>
      </c>
      <c r="C450" s="9" t="s">
        <v>8</v>
      </c>
      <c r="D450" s="9" t="s">
        <v>66</v>
      </c>
      <c r="E450" s="9" t="s">
        <v>235</v>
      </c>
      <c r="F450" s="10">
        <v>275319.52</v>
      </c>
      <c r="G450" s="10">
        <v>692</v>
      </c>
      <c r="H450" s="11">
        <v>300</v>
      </c>
      <c r="I450" s="3"/>
    </row>
    <row r="451" spans="1:9" s="4" customFormat="1" x14ac:dyDescent="0.5">
      <c r="A451" s="8">
        <v>2022</v>
      </c>
      <c r="B451" s="9" t="s">
        <v>25</v>
      </c>
      <c r="C451" s="9" t="s">
        <v>10</v>
      </c>
      <c r="D451" s="9" t="s">
        <v>67</v>
      </c>
      <c r="E451" s="9" t="s">
        <v>233</v>
      </c>
      <c r="F451" s="10">
        <v>275480.8</v>
      </c>
      <c r="G451" s="10">
        <v>210</v>
      </c>
      <c r="H451" s="11">
        <v>177</v>
      </c>
      <c r="I451" s="3"/>
    </row>
    <row r="452" spans="1:9" s="4" customFormat="1" x14ac:dyDescent="0.5">
      <c r="A452" s="8">
        <v>2022</v>
      </c>
      <c r="B452" s="9" t="s">
        <v>25</v>
      </c>
      <c r="C452" s="9" t="s">
        <v>13</v>
      </c>
      <c r="D452" s="9" t="s">
        <v>68</v>
      </c>
      <c r="E452" s="9" t="s">
        <v>231</v>
      </c>
      <c r="F452" s="10">
        <v>275794.40000000002</v>
      </c>
      <c r="G452" s="10">
        <v>839</v>
      </c>
      <c r="H452" s="11">
        <v>334</v>
      </c>
      <c r="I452" s="3"/>
    </row>
    <row r="453" spans="1:9" s="4" customFormat="1" x14ac:dyDescent="0.5">
      <c r="A453" s="8">
        <v>2022</v>
      </c>
      <c r="B453" s="9" t="s">
        <v>19</v>
      </c>
      <c r="C453" s="9" t="s">
        <v>8</v>
      </c>
      <c r="D453" s="9" t="s">
        <v>71</v>
      </c>
      <c r="E453" s="9" t="s">
        <v>234</v>
      </c>
      <c r="F453" s="10">
        <v>304622.08000000002</v>
      </c>
      <c r="G453" s="10">
        <v>872</v>
      </c>
      <c r="H453" s="11">
        <v>249</v>
      </c>
      <c r="I453" s="3"/>
    </row>
    <row r="454" spans="1:9" s="4" customFormat="1" x14ac:dyDescent="0.5">
      <c r="A454" s="8">
        <v>2022</v>
      </c>
      <c r="B454" s="9" t="s">
        <v>27</v>
      </c>
      <c r="C454" s="9" t="s">
        <v>8</v>
      </c>
      <c r="D454" s="9" t="s">
        <v>84</v>
      </c>
      <c r="E454" s="9" t="s">
        <v>229</v>
      </c>
      <c r="F454" s="10">
        <v>304622.08000000002</v>
      </c>
      <c r="G454" s="10">
        <v>930</v>
      </c>
      <c r="H454" s="11">
        <v>563</v>
      </c>
      <c r="I454" s="3"/>
    </row>
    <row r="455" spans="1:9" s="4" customFormat="1" x14ac:dyDescent="0.5">
      <c r="A455" s="8">
        <v>2022</v>
      </c>
      <c r="B455" s="9" t="s">
        <v>27</v>
      </c>
      <c r="C455" s="9" t="s">
        <v>8</v>
      </c>
      <c r="D455" s="9" t="s">
        <v>193</v>
      </c>
      <c r="E455" s="9" t="s">
        <v>234</v>
      </c>
      <c r="F455" s="10">
        <v>306653.76</v>
      </c>
      <c r="G455" s="10">
        <v>692</v>
      </c>
      <c r="H455" s="11">
        <v>300</v>
      </c>
      <c r="I455" s="3"/>
    </row>
    <row r="456" spans="1:9" s="4" customFormat="1" x14ac:dyDescent="0.5">
      <c r="A456" s="8">
        <v>2022</v>
      </c>
      <c r="B456" s="9" t="s">
        <v>25</v>
      </c>
      <c r="C456" s="9" t="s">
        <v>8</v>
      </c>
      <c r="D456" s="9" t="s">
        <v>216</v>
      </c>
      <c r="E456" s="9" t="s">
        <v>235</v>
      </c>
      <c r="F456" s="10">
        <v>306653.76</v>
      </c>
      <c r="G456" s="10">
        <v>403</v>
      </c>
      <c r="H456" s="11">
        <v>953</v>
      </c>
      <c r="I456" s="3"/>
    </row>
    <row r="457" spans="1:9" s="4" customFormat="1" x14ac:dyDescent="0.5">
      <c r="A457" s="8">
        <v>2022</v>
      </c>
      <c r="B457" s="9" t="s">
        <v>24</v>
      </c>
      <c r="C457" s="9" t="s">
        <v>8</v>
      </c>
      <c r="D457" s="9" t="s">
        <v>74</v>
      </c>
      <c r="E457" s="9" t="s">
        <v>232</v>
      </c>
      <c r="F457" s="10">
        <v>320014.24</v>
      </c>
      <c r="G457" s="10">
        <v>610</v>
      </c>
      <c r="H457" s="11">
        <v>970</v>
      </c>
      <c r="I457" s="3"/>
    </row>
    <row r="458" spans="1:9" s="4" customFormat="1" x14ac:dyDescent="0.5">
      <c r="A458" s="8">
        <v>2022</v>
      </c>
      <c r="B458" s="9" t="s">
        <v>25</v>
      </c>
      <c r="C458" s="9" t="s">
        <v>8</v>
      </c>
      <c r="D458" s="9" t="s">
        <v>77</v>
      </c>
      <c r="E458" s="9" t="s">
        <v>229</v>
      </c>
      <c r="F458" s="10">
        <v>349305.59999999998</v>
      </c>
      <c r="G458" s="10">
        <v>413</v>
      </c>
      <c r="H458" s="11">
        <v>930</v>
      </c>
      <c r="I458" s="3"/>
    </row>
    <row r="459" spans="1:9" s="4" customFormat="1" x14ac:dyDescent="0.5">
      <c r="A459" s="8">
        <v>2022</v>
      </c>
      <c r="B459" s="9" t="s">
        <v>20</v>
      </c>
      <c r="C459" s="9" t="s">
        <v>8</v>
      </c>
      <c r="D459" s="9" t="s">
        <v>28</v>
      </c>
      <c r="E459" s="9" t="s">
        <v>231</v>
      </c>
      <c r="F459" s="10">
        <v>349305.59999999998</v>
      </c>
      <c r="G459" s="10">
        <v>784</v>
      </c>
      <c r="H459" s="11">
        <v>540</v>
      </c>
      <c r="I459" s="3"/>
    </row>
    <row r="460" spans="1:9" s="4" customFormat="1" x14ac:dyDescent="0.5">
      <c r="A460" s="8">
        <v>2022</v>
      </c>
      <c r="B460" s="9" t="s">
        <v>23</v>
      </c>
      <c r="C460" s="9" t="s">
        <v>8</v>
      </c>
      <c r="D460" s="9" t="s">
        <v>78</v>
      </c>
      <c r="E460" s="9" t="s">
        <v>232</v>
      </c>
      <c r="F460" s="10">
        <v>352427.04</v>
      </c>
      <c r="G460" s="10">
        <v>568</v>
      </c>
      <c r="H460" s="11">
        <v>505</v>
      </c>
      <c r="I460" s="3"/>
    </row>
    <row r="461" spans="1:9" s="4" customFormat="1" x14ac:dyDescent="0.5">
      <c r="A461" s="8">
        <v>2022</v>
      </c>
      <c r="B461" s="9" t="s">
        <v>25</v>
      </c>
      <c r="C461" s="9" t="s">
        <v>8</v>
      </c>
      <c r="D461" s="9" t="s">
        <v>79</v>
      </c>
      <c r="E461" s="9" t="s">
        <v>229</v>
      </c>
      <c r="F461" s="10">
        <v>356908.16</v>
      </c>
      <c r="G461" s="10">
        <v>413</v>
      </c>
      <c r="H461" s="11">
        <v>930</v>
      </c>
      <c r="I461" s="3"/>
    </row>
    <row r="462" spans="1:9" s="4" customFormat="1" x14ac:dyDescent="0.5">
      <c r="A462" s="8">
        <v>2022</v>
      </c>
      <c r="B462" s="9" t="s">
        <v>18</v>
      </c>
      <c r="C462" s="9" t="s">
        <v>8</v>
      </c>
      <c r="D462" s="9" t="s">
        <v>80</v>
      </c>
      <c r="E462" s="9" t="s">
        <v>232</v>
      </c>
      <c r="F462" s="10">
        <v>366458.4</v>
      </c>
      <c r="G462" s="10">
        <v>287</v>
      </c>
      <c r="H462" s="11">
        <v>744</v>
      </c>
      <c r="I462" s="3"/>
    </row>
    <row r="463" spans="1:9" s="4" customFormat="1" x14ac:dyDescent="0.5">
      <c r="A463" s="8">
        <v>2022</v>
      </c>
      <c r="B463" s="9" t="s">
        <v>27</v>
      </c>
      <c r="C463" s="9" t="s">
        <v>8</v>
      </c>
      <c r="D463" s="9" t="s">
        <v>81</v>
      </c>
      <c r="E463" s="9" t="s">
        <v>229</v>
      </c>
      <c r="F463" s="10">
        <v>367728.48</v>
      </c>
      <c r="G463" s="10">
        <v>930</v>
      </c>
      <c r="H463" s="11">
        <v>563</v>
      </c>
      <c r="I463" s="3"/>
    </row>
    <row r="464" spans="1:9" s="4" customFormat="1" x14ac:dyDescent="0.5">
      <c r="A464" s="8">
        <v>2022</v>
      </c>
      <c r="B464" s="9" t="s">
        <v>27</v>
      </c>
      <c r="C464" s="9" t="s">
        <v>8</v>
      </c>
      <c r="D464" s="9" t="s">
        <v>187</v>
      </c>
      <c r="E464" s="9" t="s">
        <v>232</v>
      </c>
      <c r="F464" s="10">
        <v>371189.28</v>
      </c>
      <c r="G464" s="10">
        <v>749</v>
      </c>
      <c r="H464" s="11">
        <v>648</v>
      </c>
      <c r="I464" s="3"/>
    </row>
    <row r="465" spans="1:9" s="4" customFormat="1" x14ac:dyDescent="0.5">
      <c r="A465" s="8">
        <v>2022</v>
      </c>
      <c r="B465" s="9" t="s">
        <v>20</v>
      </c>
      <c r="C465" s="9" t="s">
        <v>8</v>
      </c>
      <c r="D465" s="9" t="s">
        <v>83</v>
      </c>
      <c r="E465" s="9" t="s">
        <v>230</v>
      </c>
      <c r="F465" s="10">
        <v>371324.8</v>
      </c>
      <c r="G465" s="10">
        <v>795</v>
      </c>
      <c r="H465" s="11">
        <v>469</v>
      </c>
      <c r="I465" s="3"/>
    </row>
    <row r="466" spans="1:9" s="4" customFormat="1" x14ac:dyDescent="0.5">
      <c r="A466" s="8">
        <v>2022</v>
      </c>
      <c r="B466" s="9" t="s">
        <v>25</v>
      </c>
      <c r="C466" s="9" t="s">
        <v>8</v>
      </c>
      <c r="D466" s="9" t="s">
        <v>167</v>
      </c>
      <c r="E466" s="9" t="s">
        <v>232</v>
      </c>
      <c r="F466" s="10">
        <v>390192.32</v>
      </c>
      <c r="G466" s="10">
        <v>968</v>
      </c>
      <c r="H466" s="11">
        <v>330</v>
      </c>
      <c r="I466" s="3"/>
    </row>
    <row r="467" spans="1:9" s="4" customFormat="1" x14ac:dyDescent="0.5">
      <c r="A467" s="8">
        <v>2022</v>
      </c>
      <c r="B467" s="9" t="s">
        <v>24</v>
      </c>
      <c r="C467" s="9" t="s">
        <v>8</v>
      </c>
      <c r="D467" s="9" t="s">
        <v>85</v>
      </c>
      <c r="E467" s="9" t="s">
        <v>235</v>
      </c>
      <c r="F467" s="10">
        <v>390192.32</v>
      </c>
      <c r="G467" s="10">
        <v>784</v>
      </c>
      <c r="H467" s="11">
        <v>540</v>
      </c>
      <c r="I467" s="3"/>
    </row>
    <row r="468" spans="1:9" s="4" customFormat="1" x14ac:dyDescent="0.5">
      <c r="A468" s="8">
        <v>2022</v>
      </c>
      <c r="B468" s="9" t="s">
        <v>26</v>
      </c>
      <c r="C468" s="9" t="s">
        <v>8</v>
      </c>
      <c r="D468" s="9" t="s">
        <v>86</v>
      </c>
      <c r="E468" s="9" t="s">
        <v>234</v>
      </c>
      <c r="F468" s="10">
        <v>395730.72</v>
      </c>
      <c r="G468" s="10">
        <v>610</v>
      </c>
      <c r="H468" s="11">
        <v>970</v>
      </c>
      <c r="I468" s="3"/>
    </row>
    <row r="469" spans="1:9" s="4" customFormat="1" x14ac:dyDescent="0.5">
      <c r="A469" s="8">
        <v>2022</v>
      </c>
      <c r="B469" s="9" t="s">
        <v>19</v>
      </c>
      <c r="C469" s="9" t="s">
        <v>8</v>
      </c>
      <c r="D469" s="9" t="s">
        <v>209</v>
      </c>
      <c r="E469" s="9" t="s">
        <v>230</v>
      </c>
      <c r="F469" s="10">
        <v>396397.12</v>
      </c>
      <c r="G469" s="10">
        <v>872</v>
      </c>
      <c r="H469" s="11">
        <v>249</v>
      </c>
      <c r="I469" s="3"/>
    </row>
    <row r="470" spans="1:9" s="4" customFormat="1" x14ac:dyDescent="0.5">
      <c r="A470" s="8">
        <v>2022</v>
      </c>
      <c r="B470" s="9" t="s">
        <v>21</v>
      </c>
      <c r="C470" s="9" t="s">
        <v>8</v>
      </c>
      <c r="D470" s="9" t="s">
        <v>194</v>
      </c>
      <c r="E470" s="9" t="s">
        <v>235</v>
      </c>
      <c r="F470" s="10">
        <v>396397.12</v>
      </c>
      <c r="G470" s="10">
        <v>597</v>
      </c>
      <c r="H470" s="11">
        <v>287</v>
      </c>
      <c r="I470" s="3"/>
    </row>
    <row r="471" spans="1:9" s="4" customFormat="1" x14ac:dyDescent="0.5">
      <c r="A471" s="8">
        <v>2022</v>
      </c>
      <c r="B471" s="9" t="s">
        <v>23</v>
      </c>
      <c r="C471" s="9" t="s">
        <v>8</v>
      </c>
      <c r="D471" s="9" t="s">
        <v>87</v>
      </c>
      <c r="E471" s="9" t="s">
        <v>236</v>
      </c>
      <c r="F471" s="10">
        <v>396397.12</v>
      </c>
      <c r="G471" s="10">
        <v>168</v>
      </c>
      <c r="H471" s="11">
        <v>97</v>
      </c>
      <c r="I471" s="3"/>
    </row>
    <row r="472" spans="1:9" s="4" customFormat="1" x14ac:dyDescent="0.5">
      <c r="A472" s="8">
        <v>2022</v>
      </c>
      <c r="B472" s="9" t="s">
        <v>24</v>
      </c>
      <c r="C472" s="9" t="s">
        <v>8</v>
      </c>
      <c r="D472" s="9" t="s">
        <v>191</v>
      </c>
      <c r="E472" s="9" t="s">
        <v>229</v>
      </c>
      <c r="F472" s="10">
        <v>405587.83999999997</v>
      </c>
      <c r="G472" s="10">
        <v>312</v>
      </c>
      <c r="H472" s="11">
        <v>983</v>
      </c>
      <c r="I472" s="3"/>
    </row>
    <row r="473" spans="1:9" s="4" customFormat="1" x14ac:dyDescent="0.5">
      <c r="A473" s="8">
        <v>2022</v>
      </c>
      <c r="B473" s="9" t="s">
        <v>20</v>
      </c>
      <c r="C473" s="9" t="s">
        <v>8</v>
      </c>
      <c r="D473" s="9" t="s">
        <v>90</v>
      </c>
      <c r="E473" s="9" t="s">
        <v>230</v>
      </c>
      <c r="F473" s="10">
        <v>417552.8</v>
      </c>
      <c r="G473" s="10">
        <v>795</v>
      </c>
      <c r="H473" s="11">
        <v>469</v>
      </c>
      <c r="I473" s="3"/>
    </row>
    <row r="474" spans="1:9" s="4" customFormat="1" x14ac:dyDescent="0.5">
      <c r="A474" s="8">
        <v>2022</v>
      </c>
      <c r="B474" s="9" t="s">
        <v>23</v>
      </c>
      <c r="C474" s="9" t="s">
        <v>8</v>
      </c>
      <c r="D474" s="9" t="s">
        <v>88</v>
      </c>
      <c r="E474" s="9" t="s">
        <v>233</v>
      </c>
      <c r="F474" s="10">
        <v>429470.71999999997</v>
      </c>
      <c r="G474" s="10">
        <v>287</v>
      </c>
      <c r="H474" s="11">
        <v>744</v>
      </c>
      <c r="I474" s="3"/>
    </row>
    <row r="475" spans="1:9" s="4" customFormat="1" x14ac:dyDescent="0.5">
      <c r="A475" s="8">
        <v>2022</v>
      </c>
      <c r="B475" s="9" t="s">
        <v>25</v>
      </c>
      <c r="C475" s="9" t="s">
        <v>8</v>
      </c>
      <c r="D475" s="9" t="s">
        <v>55</v>
      </c>
      <c r="E475" s="9" t="s">
        <v>229</v>
      </c>
      <c r="F475" s="10">
        <v>437881.92</v>
      </c>
      <c r="G475" s="10">
        <v>413</v>
      </c>
      <c r="H475" s="11">
        <v>930</v>
      </c>
      <c r="I475" s="3"/>
    </row>
    <row r="476" spans="1:9" s="4" customFormat="1" x14ac:dyDescent="0.5">
      <c r="A476" s="8">
        <v>2022</v>
      </c>
      <c r="B476" s="9" t="s">
        <v>25</v>
      </c>
      <c r="C476" s="9" t="s">
        <v>13</v>
      </c>
      <c r="D476" s="9" t="s">
        <v>93</v>
      </c>
      <c r="E476" s="9" t="s">
        <v>231</v>
      </c>
      <c r="F476" s="10">
        <v>437881.92</v>
      </c>
      <c r="G476" s="10">
        <v>839</v>
      </c>
      <c r="H476" s="11">
        <v>334</v>
      </c>
      <c r="I476" s="3"/>
    </row>
    <row r="477" spans="1:9" s="4" customFormat="1" x14ac:dyDescent="0.5">
      <c r="A477" s="8">
        <v>2022</v>
      </c>
      <c r="B477" s="9" t="s">
        <v>24</v>
      </c>
      <c r="C477" s="9" t="s">
        <v>12</v>
      </c>
      <c r="D477" s="9" t="s">
        <v>94</v>
      </c>
      <c r="E477" s="9" t="s">
        <v>236</v>
      </c>
      <c r="F477" s="10">
        <v>439391.68</v>
      </c>
      <c r="G477" s="10">
        <v>930</v>
      </c>
      <c r="H477" s="11">
        <v>563</v>
      </c>
      <c r="I477" s="3"/>
    </row>
    <row r="478" spans="1:9" s="4" customFormat="1" x14ac:dyDescent="0.5">
      <c r="A478" s="8">
        <v>2022</v>
      </c>
      <c r="B478" s="9" t="s">
        <v>20</v>
      </c>
      <c r="C478" s="9" t="s">
        <v>8</v>
      </c>
      <c r="D478" s="9" t="s">
        <v>96</v>
      </c>
      <c r="E478" s="9" t="s">
        <v>230</v>
      </c>
      <c r="F478" s="10">
        <v>457304.96</v>
      </c>
      <c r="G478" s="10">
        <v>795</v>
      </c>
      <c r="H478" s="11">
        <v>469</v>
      </c>
      <c r="I478" s="3"/>
    </row>
    <row r="479" spans="1:9" s="4" customFormat="1" x14ac:dyDescent="0.5">
      <c r="A479" s="8">
        <v>2022</v>
      </c>
      <c r="B479" s="9" t="s">
        <v>20</v>
      </c>
      <c r="C479" s="9" t="s">
        <v>8</v>
      </c>
      <c r="D479" s="9" t="s">
        <v>97</v>
      </c>
      <c r="E479" s="9" t="s">
        <v>235</v>
      </c>
      <c r="F479" s="10">
        <v>461137.6</v>
      </c>
      <c r="G479" s="10">
        <v>287</v>
      </c>
      <c r="H479" s="11">
        <v>744</v>
      </c>
      <c r="I479" s="3"/>
    </row>
    <row r="480" spans="1:9" s="4" customFormat="1" x14ac:dyDescent="0.5">
      <c r="A480" s="8">
        <v>2022</v>
      </c>
      <c r="B480" s="9" t="s">
        <v>20</v>
      </c>
      <c r="C480" s="9" t="s">
        <v>8</v>
      </c>
      <c r="D480" s="9" t="s">
        <v>98</v>
      </c>
      <c r="E480" s="9" t="s">
        <v>231</v>
      </c>
      <c r="F480" s="10">
        <v>462946.4</v>
      </c>
      <c r="G480" s="10">
        <v>839</v>
      </c>
      <c r="H480" s="11">
        <v>334</v>
      </c>
      <c r="I480" s="3"/>
    </row>
    <row r="481" spans="1:9" s="4" customFormat="1" x14ac:dyDescent="0.5">
      <c r="A481" s="8">
        <v>2022</v>
      </c>
      <c r="B481" s="9" t="s">
        <v>21</v>
      </c>
      <c r="C481" s="9" t="s">
        <v>8</v>
      </c>
      <c r="D481" s="9" t="s">
        <v>204</v>
      </c>
      <c r="E481" s="9" t="s">
        <v>235</v>
      </c>
      <c r="F481" s="10">
        <v>466324.32</v>
      </c>
      <c r="G481" s="10">
        <v>968</v>
      </c>
      <c r="H481" s="11">
        <v>330</v>
      </c>
      <c r="I481" s="3"/>
    </row>
    <row r="482" spans="1:9" s="4" customFormat="1" x14ac:dyDescent="0.5">
      <c r="A482" s="8">
        <v>2022</v>
      </c>
      <c r="B482" s="9" t="s">
        <v>21</v>
      </c>
      <c r="C482" s="9" t="s">
        <v>9</v>
      </c>
      <c r="D482" s="9" t="s">
        <v>100</v>
      </c>
      <c r="E482" s="9" t="s">
        <v>234</v>
      </c>
      <c r="F482" s="10">
        <v>466947.04</v>
      </c>
      <c r="G482" s="10">
        <v>597</v>
      </c>
      <c r="H482" s="11">
        <v>287</v>
      </c>
      <c r="I482" s="3"/>
    </row>
    <row r="483" spans="1:9" s="4" customFormat="1" x14ac:dyDescent="0.5">
      <c r="A483" s="8">
        <v>2022</v>
      </c>
      <c r="B483" s="9" t="s">
        <v>20</v>
      </c>
      <c r="C483" s="9" t="s">
        <v>8</v>
      </c>
      <c r="D483" s="9" t="s">
        <v>152</v>
      </c>
      <c r="E483" s="9" t="s">
        <v>231</v>
      </c>
      <c r="F483" s="10">
        <v>466947.04</v>
      </c>
      <c r="G483" s="10">
        <v>872</v>
      </c>
      <c r="H483" s="11">
        <v>249</v>
      </c>
      <c r="I483" s="3"/>
    </row>
    <row r="484" spans="1:9" s="4" customFormat="1" x14ac:dyDescent="0.5">
      <c r="A484" s="8">
        <v>2022</v>
      </c>
      <c r="B484" s="9" t="s">
        <v>26</v>
      </c>
      <c r="C484" s="9" t="s">
        <v>14</v>
      </c>
      <c r="D484" s="9" t="s">
        <v>101</v>
      </c>
      <c r="E484" s="9" t="s">
        <v>234</v>
      </c>
      <c r="F484" s="10">
        <v>467300.96</v>
      </c>
      <c r="G484" s="10">
        <v>749</v>
      </c>
      <c r="H484" s="11">
        <v>648</v>
      </c>
      <c r="I484" s="3"/>
    </row>
    <row r="485" spans="1:9" s="4" customFormat="1" x14ac:dyDescent="0.5">
      <c r="A485" s="8">
        <v>2022</v>
      </c>
      <c r="B485" s="9" t="s">
        <v>19</v>
      </c>
      <c r="C485" s="9" t="s">
        <v>8</v>
      </c>
      <c r="D485" s="9" t="s">
        <v>95</v>
      </c>
      <c r="E485" s="9" t="s">
        <v>234</v>
      </c>
      <c r="F485" s="10">
        <v>472993.92</v>
      </c>
      <c r="G485" s="10">
        <v>872</v>
      </c>
      <c r="H485" s="11">
        <v>249</v>
      </c>
      <c r="I485" s="3"/>
    </row>
    <row r="486" spans="1:9" s="4" customFormat="1" x14ac:dyDescent="0.5">
      <c r="A486" s="8">
        <v>2022</v>
      </c>
      <c r="B486" s="9" t="s">
        <v>23</v>
      </c>
      <c r="C486" s="9" t="s">
        <v>8</v>
      </c>
      <c r="D486" s="9" t="s">
        <v>103</v>
      </c>
      <c r="E486" s="9" t="s">
        <v>228</v>
      </c>
      <c r="F486" s="10">
        <v>472993.92</v>
      </c>
      <c r="G486" s="10">
        <v>577</v>
      </c>
      <c r="H486" s="11">
        <v>175</v>
      </c>
      <c r="I486" s="3"/>
    </row>
    <row r="487" spans="1:9" s="4" customFormat="1" x14ac:dyDescent="0.5">
      <c r="A487" s="8">
        <v>2022</v>
      </c>
      <c r="B487" s="9" t="s">
        <v>21</v>
      </c>
      <c r="C487" s="9" t="s">
        <v>8</v>
      </c>
      <c r="D487" s="9" t="s">
        <v>174</v>
      </c>
      <c r="E487" s="9" t="s">
        <v>228</v>
      </c>
      <c r="F487" s="10">
        <v>472993.92</v>
      </c>
      <c r="G487" s="10">
        <v>872</v>
      </c>
      <c r="H487" s="11">
        <v>249</v>
      </c>
      <c r="I487" s="3"/>
    </row>
    <row r="488" spans="1:9" s="4" customFormat="1" x14ac:dyDescent="0.5">
      <c r="A488" s="8">
        <v>2022</v>
      </c>
      <c r="B488" s="9" t="s">
        <v>23</v>
      </c>
      <c r="C488" s="9" t="s">
        <v>8</v>
      </c>
      <c r="D488" s="9" t="s">
        <v>92</v>
      </c>
      <c r="E488" s="9" t="s">
        <v>228</v>
      </c>
      <c r="F488" s="10">
        <v>472993.92</v>
      </c>
      <c r="G488" s="10">
        <v>577</v>
      </c>
      <c r="H488" s="11">
        <v>175</v>
      </c>
      <c r="I488" s="3"/>
    </row>
    <row r="489" spans="1:9" s="4" customFormat="1" x14ac:dyDescent="0.5">
      <c r="A489" s="8">
        <v>2022</v>
      </c>
      <c r="B489" s="9" t="s">
        <v>20</v>
      </c>
      <c r="C489" s="9" t="s">
        <v>8</v>
      </c>
      <c r="D489" s="9" t="s">
        <v>225</v>
      </c>
      <c r="E489" s="9" t="s">
        <v>228</v>
      </c>
      <c r="F489" s="10">
        <v>472993.92</v>
      </c>
      <c r="G489" s="10">
        <v>93</v>
      </c>
      <c r="H489" s="11">
        <v>852</v>
      </c>
      <c r="I489" s="3"/>
    </row>
    <row r="490" spans="1:9" s="4" customFormat="1" x14ac:dyDescent="0.5">
      <c r="A490" s="8">
        <v>2022</v>
      </c>
      <c r="B490" s="9" t="s">
        <v>21</v>
      </c>
      <c r="C490" s="9" t="s">
        <v>8</v>
      </c>
      <c r="D490" s="9" t="s">
        <v>34</v>
      </c>
      <c r="E490" s="9" t="s">
        <v>228</v>
      </c>
      <c r="F490" s="10">
        <v>472993.92</v>
      </c>
      <c r="G490" s="10">
        <v>403</v>
      </c>
      <c r="H490" s="11">
        <v>953</v>
      </c>
      <c r="I490" s="3"/>
    </row>
    <row r="491" spans="1:9" s="4" customFormat="1" x14ac:dyDescent="0.5">
      <c r="A491" s="8">
        <v>2022</v>
      </c>
      <c r="B491" s="9" t="s">
        <v>21</v>
      </c>
      <c r="C491" s="9" t="s">
        <v>8</v>
      </c>
      <c r="D491" s="9" t="s">
        <v>177</v>
      </c>
      <c r="E491" s="9" t="s">
        <v>228</v>
      </c>
      <c r="F491" s="10">
        <v>472993.92</v>
      </c>
      <c r="G491" s="10">
        <v>968</v>
      </c>
      <c r="H491" s="11">
        <v>330</v>
      </c>
      <c r="I491" s="3"/>
    </row>
    <row r="492" spans="1:9" s="4" customFormat="1" x14ac:dyDescent="0.5">
      <c r="A492" s="8">
        <v>2022</v>
      </c>
      <c r="B492" s="9" t="s">
        <v>21</v>
      </c>
      <c r="C492" s="9" t="s">
        <v>8</v>
      </c>
      <c r="D492" s="9" t="s">
        <v>76</v>
      </c>
      <c r="E492" s="9" t="s">
        <v>228</v>
      </c>
      <c r="F492" s="10">
        <v>472993.92</v>
      </c>
      <c r="G492" s="10">
        <v>610</v>
      </c>
      <c r="H492" s="11">
        <v>970</v>
      </c>
      <c r="I492" s="3"/>
    </row>
    <row r="493" spans="1:9" s="4" customFormat="1" x14ac:dyDescent="0.5">
      <c r="A493" s="8">
        <v>2022</v>
      </c>
      <c r="B493" s="9" t="s">
        <v>21</v>
      </c>
      <c r="C493" s="9" t="s">
        <v>8</v>
      </c>
      <c r="D493" s="9" t="s">
        <v>30</v>
      </c>
      <c r="E493" s="9" t="s">
        <v>228</v>
      </c>
      <c r="F493" s="10">
        <v>472993.92</v>
      </c>
      <c r="G493" s="10">
        <v>968</v>
      </c>
      <c r="H493" s="11">
        <v>330</v>
      </c>
      <c r="I493" s="3"/>
    </row>
    <row r="494" spans="1:9" s="4" customFormat="1" x14ac:dyDescent="0.5">
      <c r="A494" s="8">
        <v>2022</v>
      </c>
      <c r="B494" s="9" t="s">
        <v>21</v>
      </c>
      <c r="C494" s="9" t="s">
        <v>8</v>
      </c>
      <c r="D494" s="9" t="s">
        <v>143</v>
      </c>
      <c r="E494" s="9" t="s">
        <v>228</v>
      </c>
      <c r="F494" s="10">
        <v>472993.92</v>
      </c>
      <c r="G494" s="10">
        <v>930</v>
      </c>
      <c r="H494" s="11">
        <v>563</v>
      </c>
      <c r="I494" s="3"/>
    </row>
    <row r="495" spans="1:9" s="4" customFormat="1" x14ac:dyDescent="0.5">
      <c r="A495" s="8">
        <v>2022</v>
      </c>
      <c r="B495" s="9" t="s">
        <v>22</v>
      </c>
      <c r="C495" s="9" t="s">
        <v>8</v>
      </c>
      <c r="D495" s="9" t="s">
        <v>183</v>
      </c>
      <c r="E495" s="9" t="s">
        <v>228</v>
      </c>
      <c r="F495" s="10">
        <v>472993.92</v>
      </c>
      <c r="G495" s="10">
        <v>403</v>
      </c>
      <c r="H495" s="11">
        <v>953</v>
      </c>
      <c r="I495" s="3"/>
    </row>
    <row r="496" spans="1:9" s="4" customFormat="1" x14ac:dyDescent="0.5">
      <c r="A496" s="8">
        <v>2022</v>
      </c>
      <c r="B496" s="9" t="s">
        <v>21</v>
      </c>
      <c r="C496" s="9" t="s">
        <v>8</v>
      </c>
      <c r="D496" s="9" t="s">
        <v>70</v>
      </c>
      <c r="E496" s="9" t="s">
        <v>228</v>
      </c>
      <c r="F496" s="10">
        <v>472993.92</v>
      </c>
      <c r="G496" s="10">
        <v>784</v>
      </c>
      <c r="H496" s="11">
        <v>540</v>
      </c>
      <c r="I496" s="3"/>
    </row>
    <row r="497" spans="1:9" s="4" customFormat="1" x14ac:dyDescent="0.5">
      <c r="A497" s="8">
        <v>2022</v>
      </c>
      <c r="B497" s="9" t="s">
        <v>22</v>
      </c>
      <c r="C497" s="9" t="s">
        <v>8</v>
      </c>
      <c r="D497" s="9" t="s">
        <v>73</v>
      </c>
      <c r="E497" s="9" t="s">
        <v>228</v>
      </c>
      <c r="F497" s="10">
        <v>472993.92</v>
      </c>
      <c r="G497" s="10">
        <v>168</v>
      </c>
      <c r="H497" s="11">
        <v>97</v>
      </c>
      <c r="I497" s="3"/>
    </row>
    <row r="498" spans="1:9" s="4" customFormat="1" x14ac:dyDescent="0.5">
      <c r="A498" s="8">
        <v>2022</v>
      </c>
      <c r="B498" s="9" t="s">
        <v>20</v>
      </c>
      <c r="C498" s="9" t="s">
        <v>8</v>
      </c>
      <c r="D498" s="9" t="s">
        <v>164</v>
      </c>
      <c r="E498" s="9" t="s">
        <v>228</v>
      </c>
      <c r="F498" s="10">
        <v>472993.92</v>
      </c>
      <c r="G498" s="10">
        <v>403</v>
      </c>
      <c r="H498" s="11">
        <v>953</v>
      </c>
      <c r="I498" s="3"/>
    </row>
    <row r="499" spans="1:9" s="4" customFormat="1" x14ac:dyDescent="0.5">
      <c r="A499" s="8">
        <v>2022</v>
      </c>
      <c r="B499" s="9" t="s">
        <v>23</v>
      </c>
      <c r="C499" s="9" t="s">
        <v>8</v>
      </c>
      <c r="D499" s="9" t="s">
        <v>153</v>
      </c>
      <c r="E499" s="9" t="s">
        <v>228</v>
      </c>
      <c r="F499" s="10">
        <v>472993.92</v>
      </c>
      <c r="G499" s="10">
        <v>577</v>
      </c>
      <c r="H499" s="11">
        <v>175</v>
      </c>
      <c r="I499" s="3"/>
    </row>
    <row r="500" spans="1:9" s="4" customFormat="1" x14ac:dyDescent="0.5">
      <c r="A500" s="8">
        <v>2022</v>
      </c>
      <c r="B500" s="9" t="s">
        <v>20</v>
      </c>
      <c r="C500" s="9" t="s">
        <v>8</v>
      </c>
      <c r="D500" s="9" t="s">
        <v>211</v>
      </c>
      <c r="E500" s="9" t="s">
        <v>228</v>
      </c>
      <c r="F500" s="10">
        <v>472993.92</v>
      </c>
      <c r="G500" s="10">
        <v>784</v>
      </c>
      <c r="H500" s="11">
        <v>540</v>
      </c>
      <c r="I500" s="3"/>
    </row>
    <row r="501" spans="1:9" s="4" customFormat="1" x14ac:dyDescent="0.5">
      <c r="A501" s="8">
        <v>2022</v>
      </c>
      <c r="B501" s="9" t="s">
        <v>21</v>
      </c>
      <c r="C501" s="9" t="s">
        <v>8</v>
      </c>
      <c r="D501" s="9" t="s">
        <v>61</v>
      </c>
      <c r="E501" s="9" t="s">
        <v>228</v>
      </c>
      <c r="F501" s="10">
        <v>472993.92</v>
      </c>
      <c r="G501" s="10">
        <v>413</v>
      </c>
      <c r="H501" s="11">
        <v>930</v>
      </c>
      <c r="I501" s="3"/>
    </row>
    <row r="502" spans="1:9" s="4" customFormat="1" x14ac:dyDescent="0.5">
      <c r="A502" s="8">
        <v>2022</v>
      </c>
      <c r="B502" s="9" t="s">
        <v>27</v>
      </c>
      <c r="C502" s="9" t="s">
        <v>8</v>
      </c>
      <c r="D502" s="9" t="s">
        <v>105</v>
      </c>
      <c r="E502" s="9" t="s">
        <v>229</v>
      </c>
      <c r="F502" s="10">
        <v>480165.28</v>
      </c>
      <c r="G502" s="10">
        <v>872</v>
      </c>
      <c r="H502" s="11">
        <v>249</v>
      </c>
      <c r="I502" s="3"/>
    </row>
    <row r="503" spans="1:9" s="4" customFormat="1" x14ac:dyDescent="0.5">
      <c r="A503" s="8">
        <v>2022</v>
      </c>
      <c r="B503" s="9" t="s">
        <v>23</v>
      </c>
      <c r="C503" s="9" t="s">
        <v>8</v>
      </c>
      <c r="D503" s="9" t="s">
        <v>213</v>
      </c>
      <c r="E503" s="9" t="s">
        <v>233</v>
      </c>
      <c r="F503" s="10">
        <v>482446.72</v>
      </c>
      <c r="G503" s="10">
        <v>692</v>
      </c>
      <c r="H503" s="11">
        <v>300</v>
      </c>
      <c r="I503" s="3"/>
    </row>
    <row r="504" spans="1:9" s="4" customFormat="1" x14ac:dyDescent="0.5">
      <c r="A504" s="8">
        <v>2022</v>
      </c>
      <c r="B504" s="9" t="s">
        <v>25</v>
      </c>
      <c r="C504" s="9" t="s">
        <v>8</v>
      </c>
      <c r="D504" s="9" t="s">
        <v>210</v>
      </c>
      <c r="E504" s="9" t="s">
        <v>234</v>
      </c>
      <c r="F504" s="10">
        <v>482446.72</v>
      </c>
      <c r="G504" s="10">
        <v>287</v>
      </c>
      <c r="H504" s="11">
        <v>744</v>
      </c>
      <c r="I504" s="3"/>
    </row>
    <row r="505" spans="1:9" s="4" customFormat="1" x14ac:dyDescent="0.5">
      <c r="A505" s="8">
        <v>2022</v>
      </c>
      <c r="B505" s="9" t="s">
        <v>21</v>
      </c>
      <c r="C505" s="9" t="s">
        <v>8</v>
      </c>
      <c r="D505" s="9" t="s">
        <v>107</v>
      </c>
      <c r="E505" s="9" t="s">
        <v>235</v>
      </c>
      <c r="F505" s="10">
        <v>482446.72</v>
      </c>
      <c r="G505" s="10">
        <v>577</v>
      </c>
      <c r="H505" s="11">
        <v>175</v>
      </c>
      <c r="I505" s="3"/>
    </row>
    <row r="506" spans="1:9" s="4" customFormat="1" x14ac:dyDescent="0.5">
      <c r="A506" s="8">
        <v>2022</v>
      </c>
      <c r="B506" s="9" t="s">
        <v>18</v>
      </c>
      <c r="C506" s="9" t="s">
        <v>8</v>
      </c>
      <c r="D506" s="9" t="s">
        <v>199</v>
      </c>
      <c r="E506" s="9" t="s">
        <v>229</v>
      </c>
      <c r="F506" s="10">
        <v>483679.83999999997</v>
      </c>
      <c r="G506" s="10">
        <v>930</v>
      </c>
      <c r="H506" s="11">
        <v>563</v>
      </c>
      <c r="I506" s="3"/>
    </row>
    <row r="507" spans="1:9" s="4" customFormat="1" x14ac:dyDescent="0.5">
      <c r="A507" s="8">
        <v>2022</v>
      </c>
      <c r="B507" s="9" t="s">
        <v>18</v>
      </c>
      <c r="C507" s="9" t="s">
        <v>8</v>
      </c>
      <c r="D507" s="9" t="s">
        <v>109</v>
      </c>
      <c r="E507" s="9" t="s">
        <v>232</v>
      </c>
      <c r="F507" s="10">
        <v>488034.4</v>
      </c>
      <c r="G507" s="10">
        <v>968</v>
      </c>
      <c r="H507" s="11">
        <v>330</v>
      </c>
      <c r="I507" s="3"/>
    </row>
    <row r="508" spans="1:9" s="4" customFormat="1" x14ac:dyDescent="0.5">
      <c r="A508" s="8">
        <v>2022</v>
      </c>
      <c r="B508" s="9" t="s">
        <v>19</v>
      </c>
      <c r="C508" s="9" t="s">
        <v>8</v>
      </c>
      <c r="D508" s="9" t="s">
        <v>110</v>
      </c>
      <c r="E508" s="9" t="s">
        <v>236</v>
      </c>
      <c r="F508" s="10">
        <v>491219.68</v>
      </c>
      <c r="G508" s="10">
        <v>210</v>
      </c>
      <c r="H508" s="11">
        <v>177</v>
      </c>
      <c r="I508" s="3"/>
    </row>
    <row r="509" spans="1:9" s="4" customFormat="1" x14ac:dyDescent="0.5">
      <c r="A509" s="8">
        <v>2022</v>
      </c>
      <c r="B509" s="9" t="s">
        <v>22</v>
      </c>
      <c r="C509" s="9" t="s">
        <v>8</v>
      </c>
      <c r="D509" s="9" t="s">
        <v>224</v>
      </c>
      <c r="E509" s="9" t="s">
        <v>230</v>
      </c>
      <c r="F509" s="10">
        <v>508671.52</v>
      </c>
      <c r="G509" s="10">
        <v>784</v>
      </c>
      <c r="H509" s="11">
        <v>540</v>
      </c>
      <c r="I509" s="3"/>
    </row>
    <row r="510" spans="1:9" s="4" customFormat="1" x14ac:dyDescent="0.5">
      <c r="A510" s="8">
        <v>2022</v>
      </c>
      <c r="B510" s="9" t="s">
        <v>19</v>
      </c>
      <c r="C510" s="9" t="s">
        <v>8</v>
      </c>
      <c r="D510" s="9" t="s">
        <v>112</v>
      </c>
      <c r="E510" s="9" t="s">
        <v>231</v>
      </c>
      <c r="F510" s="10">
        <v>513592.8</v>
      </c>
      <c r="G510" s="10">
        <v>403</v>
      </c>
      <c r="H510" s="11">
        <v>953</v>
      </c>
      <c r="I510" s="3"/>
    </row>
    <row r="511" spans="1:9" s="4" customFormat="1" x14ac:dyDescent="0.5">
      <c r="A511" s="8">
        <v>2022</v>
      </c>
      <c r="B511" s="9" t="s">
        <v>25</v>
      </c>
      <c r="C511" s="9" t="s">
        <v>8</v>
      </c>
      <c r="D511" s="9" t="s">
        <v>223</v>
      </c>
      <c r="E511" s="9" t="s">
        <v>231</v>
      </c>
      <c r="F511" s="10">
        <v>513714.88</v>
      </c>
      <c r="G511" s="10">
        <v>839</v>
      </c>
      <c r="H511" s="11">
        <v>334</v>
      </c>
      <c r="I511" s="3"/>
    </row>
    <row r="512" spans="1:9" s="4" customFormat="1" x14ac:dyDescent="0.5">
      <c r="A512" s="8">
        <v>2022</v>
      </c>
      <c r="B512" s="9" t="s">
        <v>21</v>
      </c>
      <c r="C512" s="9" t="s">
        <v>8</v>
      </c>
      <c r="D512" s="9" t="s">
        <v>114</v>
      </c>
      <c r="E512" s="9" t="s">
        <v>231</v>
      </c>
      <c r="F512" s="10">
        <v>513714.88</v>
      </c>
      <c r="G512" s="10">
        <v>930</v>
      </c>
      <c r="H512" s="11">
        <v>563</v>
      </c>
      <c r="I512" s="3"/>
    </row>
    <row r="513" spans="1:9" s="4" customFormat="1" x14ac:dyDescent="0.5">
      <c r="A513" s="8">
        <v>2022</v>
      </c>
      <c r="B513" s="9" t="s">
        <v>20</v>
      </c>
      <c r="C513" s="9" t="s">
        <v>8</v>
      </c>
      <c r="D513" s="9" t="s">
        <v>215</v>
      </c>
      <c r="E513" s="9" t="s">
        <v>236</v>
      </c>
      <c r="F513" s="10">
        <v>513714.88</v>
      </c>
      <c r="G513" s="10">
        <v>930</v>
      </c>
      <c r="H513" s="11">
        <v>563</v>
      </c>
      <c r="I513" s="3"/>
    </row>
    <row r="514" spans="1:9" s="4" customFormat="1" x14ac:dyDescent="0.5">
      <c r="A514" s="8">
        <v>2022</v>
      </c>
      <c r="B514" s="9" t="s">
        <v>25</v>
      </c>
      <c r="C514" s="9" t="s">
        <v>10</v>
      </c>
      <c r="D514" s="9" t="s">
        <v>115</v>
      </c>
      <c r="E514" s="9" t="s">
        <v>233</v>
      </c>
      <c r="F514" s="10">
        <v>521766.56</v>
      </c>
      <c r="G514" s="10">
        <v>210</v>
      </c>
      <c r="H514" s="11">
        <v>177</v>
      </c>
      <c r="I514" s="3"/>
    </row>
    <row r="515" spans="1:9" s="4" customFormat="1" x14ac:dyDescent="0.5">
      <c r="A515" s="8">
        <v>2022</v>
      </c>
      <c r="B515" s="9" t="s">
        <v>27</v>
      </c>
      <c r="C515" s="9" t="s">
        <v>8</v>
      </c>
      <c r="D515" s="9" t="s">
        <v>117</v>
      </c>
      <c r="E515" s="9" t="s">
        <v>231</v>
      </c>
      <c r="F515" s="10">
        <v>524849.92000000004</v>
      </c>
      <c r="G515" s="10">
        <v>692</v>
      </c>
      <c r="H515" s="11">
        <v>300</v>
      </c>
      <c r="I515" s="3"/>
    </row>
    <row r="516" spans="1:9" s="4" customFormat="1" x14ac:dyDescent="0.5">
      <c r="A516" s="8">
        <v>2022</v>
      </c>
      <c r="B516" s="9" t="s">
        <v>27</v>
      </c>
      <c r="C516" s="9" t="s">
        <v>8</v>
      </c>
      <c r="D516" s="9" t="s">
        <v>118</v>
      </c>
      <c r="E516" s="9" t="s">
        <v>231</v>
      </c>
      <c r="F516" s="10">
        <v>524939.52000000002</v>
      </c>
      <c r="G516" s="10">
        <v>692</v>
      </c>
      <c r="H516" s="11">
        <v>300</v>
      </c>
      <c r="I516" s="3"/>
    </row>
    <row r="517" spans="1:9" s="4" customFormat="1" x14ac:dyDescent="0.5">
      <c r="A517" s="8">
        <v>2022</v>
      </c>
      <c r="B517" s="9" t="s">
        <v>22</v>
      </c>
      <c r="C517" s="9" t="s">
        <v>9</v>
      </c>
      <c r="D517" s="9" t="s">
        <v>119</v>
      </c>
      <c r="E517" s="9" t="s">
        <v>230</v>
      </c>
      <c r="F517" s="10">
        <v>526794.23999999999</v>
      </c>
      <c r="G517" s="10">
        <v>312</v>
      </c>
      <c r="H517" s="11">
        <v>983</v>
      </c>
      <c r="I517" s="3"/>
    </row>
    <row r="518" spans="1:9" s="4" customFormat="1" x14ac:dyDescent="0.5">
      <c r="A518" s="8">
        <v>2022</v>
      </c>
      <c r="B518" s="9" t="s">
        <v>19</v>
      </c>
      <c r="C518" s="9" t="s">
        <v>8</v>
      </c>
      <c r="D518" s="9" t="s">
        <v>121</v>
      </c>
      <c r="E518" s="9" t="s">
        <v>234</v>
      </c>
      <c r="F518" s="10">
        <v>539590.24</v>
      </c>
      <c r="G518" s="10">
        <v>168</v>
      </c>
      <c r="H518" s="11">
        <v>97</v>
      </c>
      <c r="I518" s="3"/>
    </row>
    <row r="519" spans="1:9" s="4" customFormat="1" x14ac:dyDescent="0.5">
      <c r="A519" s="8">
        <v>2022</v>
      </c>
      <c r="B519" s="9" t="s">
        <v>27</v>
      </c>
      <c r="C519" s="9" t="s">
        <v>8</v>
      </c>
      <c r="D519" s="9" t="s">
        <v>122</v>
      </c>
      <c r="E519" s="9" t="s">
        <v>229</v>
      </c>
      <c r="F519" s="10">
        <v>552107.36</v>
      </c>
      <c r="G519" s="10">
        <v>839</v>
      </c>
      <c r="H519" s="11">
        <v>983</v>
      </c>
      <c r="I519" s="3"/>
    </row>
    <row r="520" spans="1:9" s="4" customFormat="1" x14ac:dyDescent="0.5">
      <c r="A520" s="8">
        <v>2022</v>
      </c>
      <c r="B520" s="9" t="s">
        <v>18</v>
      </c>
      <c r="C520" s="9" t="s">
        <v>8</v>
      </c>
      <c r="D520" s="9" t="s">
        <v>186</v>
      </c>
      <c r="E520" s="9" t="s">
        <v>229</v>
      </c>
      <c r="F520" s="10">
        <v>560104.16</v>
      </c>
      <c r="G520" s="10">
        <v>312</v>
      </c>
      <c r="H520" s="11">
        <v>983</v>
      </c>
      <c r="I520" s="3"/>
    </row>
    <row r="521" spans="1:9" s="4" customFormat="1" x14ac:dyDescent="0.5">
      <c r="A521" s="8">
        <v>2022</v>
      </c>
      <c r="B521" s="9" t="s">
        <v>20</v>
      </c>
      <c r="C521" s="9" t="s">
        <v>8</v>
      </c>
      <c r="D521" s="9" t="s">
        <v>125</v>
      </c>
      <c r="E521" s="9" t="s">
        <v>235</v>
      </c>
      <c r="F521" s="10">
        <v>563342.07999999996</v>
      </c>
      <c r="G521" s="10">
        <v>287</v>
      </c>
      <c r="H521" s="11">
        <v>744</v>
      </c>
      <c r="I521" s="3"/>
    </row>
    <row r="522" spans="1:9" s="4" customFormat="1" x14ac:dyDescent="0.5">
      <c r="A522" s="8">
        <v>2022</v>
      </c>
      <c r="B522" s="9" t="s">
        <v>23</v>
      </c>
      <c r="C522" s="9" t="s">
        <v>8</v>
      </c>
      <c r="D522" s="9" t="s">
        <v>126</v>
      </c>
      <c r="E522" s="9" t="s">
        <v>231</v>
      </c>
      <c r="F522" s="10">
        <v>566350.4</v>
      </c>
      <c r="G522" s="10">
        <v>568</v>
      </c>
      <c r="H522" s="11">
        <v>505</v>
      </c>
      <c r="I522" s="3"/>
    </row>
    <row r="523" spans="1:9" s="4" customFormat="1" x14ac:dyDescent="0.5">
      <c r="A523" s="8">
        <v>2022</v>
      </c>
      <c r="B523" s="9" t="s">
        <v>25</v>
      </c>
      <c r="C523" s="9" t="s">
        <v>8</v>
      </c>
      <c r="D523" s="9" t="s">
        <v>205</v>
      </c>
      <c r="E523" s="9" t="s">
        <v>235</v>
      </c>
      <c r="F523" s="10">
        <v>567481.59999999998</v>
      </c>
      <c r="G523" s="10">
        <v>568</v>
      </c>
      <c r="H523" s="11">
        <v>505</v>
      </c>
      <c r="I523" s="3"/>
    </row>
    <row r="524" spans="1:9" s="4" customFormat="1" x14ac:dyDescent="0.5">
      <c r="A524" s="8">
        <v>2022</v>
      </c>
      <c r="B524" s="9" t="s">
        <v>20</v>
      </c>
      <c r="C524" s="9" t="s">
        <v>8</v>
      </c>
      <c r="D524" s="9" t="s">
        <v>128</v>
      </c>
      <c r="E524" s="9" t="s">
        <v>231</v>
      </c>
      <c r="F524" s="10">
        <v>578538.23999999999</v>
      </c>
      <c r="G524" s="10">
        <v>839</v>
      </c>
      <c r="H524" s="11">
        <v>334</v>
      </c>
      <c r="I524" s="3"/>
    </row>
    <row r="525" spans="1:9" s="4" customFormat="1" x14ac:dyDescent="0.5">
      <c r="A525" s="8">
        <v>2022</v>
      </c>
      <c r="B525" s="9" t="s">
        <v>18</v>
      </c>
      <c r="C525" s="9" t="s">
        <v>11</v>
      </c>
      <c r="D525" s="9" t="s">
        <v>129</v>
      </c>
      <c r="E525" s="9" t="s">
        <v>229</v>
      </c>
      <c r="F525" s="10">
        <v>581692.16000000003</v>
      </c>
      <c r="G525" s="10">
        <v>839</v>
      </c>
      <c r="H525" s="11">
        <v>983</v>
      </c>
      <c r="I525" s="3"/>
    </row>
    <row r="526" spans="1:9" s="4" customFormat="1" x14ac:dyDescent="0.5">
      <c r="A526" s="8">
        <v>2022</v>
      </c>
      <c r="B526" s="9" t="s">
        <v>25</v>
      </c>
      <c r="C526" s="9" t="s">
        <v>8</v>
      </c>
      <c r="D526" s="9" t="s">
        <v>198</v>
      </c>
      <c r="E526" s="9" t="s">
        <v>231</v>
      </c>
      <c r="F526" s="10">
        <v>585294.07999999996</v>
      </c>
      <c r="G526" s="10">
        <v>930</v>
      </c>
      <c r="H526" s="11">
        <v>563</v>
      </c>
      <c r="I526" s="3"/>
    </row>
    <row r="527" spans="1:9" s="4" customFormat="1" x14ac:dyDescent="0.5">
      <c r="A527" s="8">
        <v>2022</v>
      </c>
      <c r="B527" s="9" t="s">
        <v>20</v>
      </c>
      <c r="C527" s="9" t="s">
        <v>8</v>
      </c>
      <c r="D527" s="9" t="s">
        <v>131</v>
      </c>
      <c r="E527" s="9" t="s">
        <v>230</v>
      </c>
      <c r="F527" s="10">
        <v>586849.76</v>
      </c>
      <c r="G527" s="10">
        <v>795</v>
      </c>
      <c r="H527" s="11">
        <v>469</v>
      </c>
      <c r="I527" s="3"/>
    </row>
    <row r="528" spans="1:9" s="4" customFormat="1" x14ac:dyDescent="0.5">
      <c r="A528" s="8">
        <v>2022</v>
      </c>
      <c r="B528" s="9" t="s">
        <v>22</v>
      </c>
      <c r="C528" s="9" t="s">
        <v>8</v>
      </c>
      <c r="D528" s="9" t="s">
        <v>132</v>
      </c>
      <c r="E528" s="9" t="s">
        <v>234</v>
      </c>
      <c r="F528" s="10">
        <v>587074.88</v>
      </c>
      <c r="G528" s="10">
        <v>784</v>
      </c>
      <c r="H528" s="11">
        <v>540</v>
      </c>
      <c r="I528" s="3"/>
    </row>
    <row r="529" spans="1:9" s="4" customFormat="1" x14ac:dyDescent="0.5">
      <c r="A529" s="8">
        <v>2022</v>
      </c>
      <c r="B529" s="9" t="s">
        <v>24</v>
      </c>
      <c r="C529" s="9" t="s">
        <v>8</v>
      </c>
      <c r="D529" s="9" t="s">
        <v>202</v>
      </c>
      <c r="E529" s="9" t="s">
        <v>229</v>
      </c>
      <c r="F529" s="10">
        <v>612550.40000000002</v>
      </c>
      <c r="G529" s="10">
        <v>795</v>
      </c>
      <c r="H529" s="11">
        <v>469</v>
      </c>
      <c r="I529" s="3"/>
    </row>
    <row r="530" spans="1:9" s="4" customFormat="1" x14ac:dyDescent="0.5">
      <c r="A530" s="8">
        <v>2022</v>
      </c>
      <c r="B530" s="9" t="s">
        <v>25</v>
      </c>
      <c r="C530" s="9" t="s">
        <v>8</v>
      </c>
      <c r="D530" s="9" t="s">
        <v>135</v>
      </c>
      <c r="E530" s="9" t="s">
        <v>235</v>
      </c>
      <c r="F530" s="10">
        <v>612550.40000000002</v>
      </c>
      <c r="G530" s="10">
        <v>839</v>
      </c>
      <c r="H530" s="11">
        <v>983</v>
      </c>
      <c r="I530" s="3"/>
    </row>
    <row r="531" spans="1:9" s="4" customFormat="1" x14ac:dyDescent="0.5">
      <c r="A531" s="8">
        <v>2022</v>
      </c>
      <c r="B531" s="9" t="s">
        <v>23</v>
      </c>
      <c r="C531" s="9" t="s">
        <v>8</v>
      </c>
      <c r="D531" s="9" t="s">
        <v>220</v>
      </c>
      <c r="E531" s="9" t="s">
        <v>236</v>
      </c>
      <c r="F531" s="10">
        <v>612550.40000000002</v>
      </c>
      <c r="G531" s="10">
        <v>403</v>
      </c>
      <c r="H531" s="11">
        <v>953</v>
      </c>
      <c r="I531" s="3"/>
    </row>
    <row r="532" spans="1:9" s="4" customFormat="1" x14ac:dyDescent="0.5">
      <c r="A532" s="8">
        <v>2022</v>
      </c>
      <c r="B532" s="9" t="s">
        <v>23</v>
      </c>
      <c r="C532" s="9" t="s">
        <v>8</v>
      </c>
      <c r="D532" s="9" t="s">
        <v>136</v>
      </c>
      <c r="E532" s="9" t="s">
        <v>231</v>
      </c>
      <c r="F532" s="10">
        <v>624863.67999999993</v>
      </c>
      <c r="G532" s="10">
        <v>577</v>
      </c>
      <c r="H532" s="11">
        <v>175</v>
      </c>
      <c r="I532" s="3"/>
    </row>
    <row r="533" spans="1:9" s="4" customFormat="1" x14ac:dyDescent="0.5">
      <c r="A533" s="8">
        <v>2022</v>
      </c>
      <c r="B533" s="9" t="s">
        <v>23</v>
      </c>
      <c r="C533" s="9" t="s">
        <v>8</v>
      </c>
      <c r="D533" s="9" t="s">
        <v>137</v>
      </c>
      <c r="E533" s="9" t="s">
        <v>231</v>
      </c>
      <c r="F533" s="10">
        <v>635797.12</v>
      </c>
      <c r="G533" s="10">
        <v>577</v>
      </c>
      <c r="H533" s="11">
        <v>175</v>
      </c>
      <c r="I533" s="3"/>
    </row>
    <row r="534" spans="1:9" s="4" customFormat="1" x14ac:dyDescent="0.5">
      <c r="A534" s="8">
        <v>2022</v>
      </c>
      <c r="B534" s="9" t="s">
        <v>19</v>
      </c>
      <c r="C534" s="9" t="s">
        <v>8</v>
      </c>
      <c r="D534" s="9" t="s">
        <v>197</v>
      </c>
      <c r="E534" s="9" t="s">
        <v>233</v>
      </c>
      <c r="F534" s="10">
        <v>642616.80000000005</v>
      </c>
      <c r="G534" s="10">
        <v>872</v>
      </c>
      <c r="H534" s="11">
        <v>249</v>
      </c>
      <c r="I534" s="3"/>
    </row>
    <row r="535" spans="1:9" s="4" customFormat="1" x14ac:dyDescent="0.5">
      <c r="A535" s="8">
        <v>2022</v>
      </c>
      <c r="B535" s="9" t="s">
        <v>18</v>
      </c>
      <c r="C535" s="9" t="s">
        <v>8</v>
      </c>
      <c r="D535" s="9" t="s">
        <v>139</v>
      </c>
      <c r="E535" s="9" t="s">
        <v>232</v>
      </c>
      <c r="F535" s="10">
        <v>653988.16</v>
      </c>
      <c r="G535" s="10">
        <v>93</v>
      </c>
      <c r="H535" s="11">
        <v>852</v>
      </c>
      <c r="I535" s="3"/>
    </row>
    <row r="536" spans="1:9" s="4" customFormat="1" x14ac:dyDescent="0.5">
      <c r="A536" s="8">
        <v>2022</v>
      </c>
      <c r="B536" s="9" t="s">
        <v>23</v>
      </c>
      <c r="C536" s="9" t="s">
        <v>8</v>
      </c>
      <c r="D536" s="9" t="s">
        <v>140</v>
      </c>
      <c r="E536" s="9" t="s">
        <v>232</v>
      </c>
      <c r="F536" s="10">
        <v>655095.84</v>
      </c>
      <c r="G536" s="10">
        <v>568</v>
      </c>
      <c r="H536" s="11">
        <v>505</v>
      </c>
      <c r="I536" s="3"/>
    </row>
    <row r="537" spans="1:9" s="4" customFormat="1" x14ac:dyDescent="0.5">
      <c r="A537" s="8">
        <v>2022</v>
      </c>
      <c r="B537" s="9" t="s">
        <v>25</v>
      </c>
      <c r="C537" s="9" t="s">
        <v>8</v>
      </c>
      <c r="D537" s="9" t="s">
        <v>141</v>
      </c>
      <c r="E537" s="9" t="s">
        <v>232</v>
      </c>
      <c r="F537" s="10">
        <v>658492.80000000005</v>
      </c>
      <c r="G537" s="10">
        <v>968</v>
      </c>
      <c r="H537" s="11">
        <v>330</v>
      </c>
      <c r="I537" s="3"/>
    </row>
    <row r="538" spans="1:9" s="4" customFormat="1" x14ac:dyDescent="0.5">
      <c r="A538" s="8">
        <v>2022</v>
      </c>
      <c r="B538" s="9" t="s">
        <v>23</v>
      </c>
      <c r="C538" s="9" t="s">
        <v>8</v>
      </c>
      <c r="D538" s="9" t="s">
        <v>188</v>
      </c>
      <c r="E538" s="9" t="s">
        <v>233</v>
      </c>
      <c r="F538" s="10">
        <v>660390.07999999996</v>
      </c>
      <c r="G538" s="10">
        <v>839</v>
      </c>
      <c r="H538" s="11">
        <v>983</v>
      </c>
      <c r="I538" s="3"/>
    </row>
    <row r="539" spans="1:9" s="4" customFormat="1" x14ac:dyDescent="0.5">
      <c r="A539" s="8">
        <v>2022</v>
      </c>
      <c r="B539" s="9" t="s">
        <v>21</v>
      </c>
      <c r="C539" s="9" t="s">
        <v>8</v>
      </c>
      <c r="D539" s="9" t="s">
        <v>144</v>
      </c>
      <c r="E539" s="9" t="s">
        <v>229</v>
      </c>
      <c r="F539" s="10">
        <v>670153.12</v>
      </c>
      <c r="G539" s="10">
        <v>312</v>
      </c>
      <c r="H539" s="11">
        <v>983</v>
      </c>
      <c r="I539" s="3"/>
    </row>
    <row r="540" spans="1:9" s="4" customFormat="1" x14ac:dyDescent="0.5">
      <c r="A540" s="8">
        <v>2022</v>
      </c>
      <c r="B540" s="9" t="s">
        <v>27</v>
      </c>
      <c r="C540" s="9" t="s">
        <v>8</v>
      </c>
      <c r="D540" s="9" t="s">
        <v>145</v>
      </c>
      <c r="E540" s="9" t="s">
        <v>231</v>
      </c>
      <c r="F540" s="10">
        <v>685441.12</v>
      </c>
      <c r="G540" s="10">
        <v>692</v>
      </c>
      <c r="H540" s="11">
        <v>300</v>
      </c>
      <c r="I540" s="3"/>
    </row>
    <row r="541" spans="1:9" s="4" customFormat="1" x14ac:dyDescent="0.5">
      <c r="A541" s="8">
        <v>2022</v>
      </c>
      <c r="B541" s="9" t="s">
        <v>21</v>
      </c>
      <c r="C541" s="9" t="s">
        <v>8</v>
      </c>
      <c r="D541" s="9" t="s">
        <v>217</v>
      </c>
      <c r="E541" s="9" t="s">
        <v>232</v>
      </c>
      <c r="F541" s="10">
        <v>685790.56</v>
      </c>
      <c r="G541" s="10">
        <v>597</v>
      </c>
      <c r="H541" s="11">
        <v>287</v>
      </c>
      <c r="I541" s="3"/>
    </row>
    <row r="542" spans="1:9" s="4" customFormat="1" x14ac:dyDescent="0.5">
      <c r="A542" s="8">
        <v>2022</v>
      </c>
      <c r="B542" s="9" t="s">
        <v>27</v>
      </c>
      <c r="C542" s="9" t="s">
        <v>8</v>
      </c>
      <c r="D542" s="9" t="s">
        <v>227</v>
      </c>
      <c r="E542" s="9" t="s">
        <v>234</v>
      </c>
      <c r="F542" s="10">
        <v>692508.32</v>
      </c>
      <c r="G542" s="10">
        <v>413</v>
      </c>
      <c r="H542" s="11">
        <v>930</v>
      </c>
      <c r="I542" s="3"/>
    </row>
    <row r="543" spans="1:9" s="4" customFormat="1" x14ac:dyDescent="0.5">
      <c r="A543" s="8">
        <v>2022</v>
      </c>
      <c r="B543" s="9" t="s">
        <v>18</v>
      </c>
      <c r="C543" s="9" t="s">
        <v>8</v>
      </c>
      <c r="D543" s="9" t="s">
        <v>219</v>
      </c>
      <c r="E543" s="9" t="s">
        <v>229</v>
      </c>
      <c r="F543" s="10">
        <v>692508.32</v>
      </c>
      <c r="G543" s="10">
        <v>210</v>
      </c>
      <c r="H543" s="11">
        <v>177</v>
      </c>
      <c r="I543" s="3"/>
    </row>
    <row r="544" spans="1:9" s="4" customFormat="1" x14ac:dyDescent="0.5">
      <c r="A544" s="8">
        <v>2022</v>
      </c>
      <c r="B544" s="9" t="s">
        <v>20</v>
      </c>
      <c r="C544" s="9" t="s">
        <v>8</v>
      </c>
      <c r="D544" s="9" t="s">
        <v>148</v>
      </c>
      <c r="E544" s="9" t="s">
        <v>236</v>
      </c>
      <c r="F544" s="10">
        <v>692508.32</v>
      </c>
      <c r="G544" s="10">
        <v>839</v>
      </c>
      <c r="H544" s="11">
        <v>983</v>
      </c>
      <c r="I544" s="3"/>
    </row>
    <row r="545" spans="1:9" s="4" customFormat="1" x14ac:dyDescent="0.5">
      <c r="A545" s="8">
        <v>2022</v>
      </c>
      <c r="B545" s="9" t="s">
        <v>20</v>
      </c>
      <c r="C545" s="9" t="s">
        <v>8</v>
      </c>
      <c r="D545" s="9" t="s">
        <v>206</v>
      </c>
      <c r="E545" s="9" t="s">
        <v>236</v>
      </c>
      <c r="F545" s="10">
        <v>692508.32</v>
      </c>
      <c r="G545" s="10">
        <v>210</v>
      </c>
      <c r="H545" s="11">
        <v>177</v>
      </c>
      <c r="I545" s="3"/>
    </row>
    <row r="546" spans="1:9" s="4" customFormat="1" x14ac:dyDescent="0.5">
      <c r="A546" s="8">
        <v>2022</v>
      </c>
      <c r="B546" s="9" t="s">
        <v>23</v>
      </c>
      <c r="C546" s="9" t="s">
        <v>8</v>
      </c>
      <c r="D546" s="9" t="s">
        <v>212</v>
      </c>
      <c r="E546" s="9" t="s">
        <v>236</v>
      </c>
      <c r="F546" s="10">
        <v>694077.43999999994</v>
      </c>
      <c r="G546" s="10">
        <v>413</v>
      </c>
      <c r="H546" s="11">
        <v>930</v>
      </c>
      <c r="I546" s="3"/>
    </row>
    <row r="547" spans="1:9" s="4" customFormat="1" x14ac:dyDescent="0.5">
      <c r="A547" s="8">
        <v>2022</v>
      </c>
      <c r="B547" s="9" t="s">
        <v>26</v>
      </c>
      <c r="C547" s="9" t="s">
        <v>8</v>
      </c>
      <c r="D547" s="9" t="s">
        <v>149</v>
      </c>
      <c r="E547" s="9" t="s">
        <v>230</v>
      </c>
      <c r="F547" s="10">
        <v>697089.12</v>
      </c>
      <c r="G547" s="10">
        <v>795</v>
      </c>
      <c r="H547" s="11">
        <v>469</v>
      </c>
      <c r="I547" s="3"/>
    </row>
    <row r="548" spans="1:9" s="4" customFormat="1" x14ac:dyDescent="0.5">
      <c r="A548" s="8">
        <v>2022</v>
      </c>
      <c r="B548" s="9" t="s">
        <v>25</v>
      </c>
      <c r="C548" s="9" t="s">
        <v>8</v>
      </c>
      <c r="D548" s="9" t="s">
        <v>150</v>
      </c>
      <c r="E548" s="9" t="s">
        <v>233</v>
      </c>
      <c r="F548" s="10">
        <v>701037.12</v>
      </c>
      <c r="G548" s="10">
        <v>610</v>
      </c>
      <c r="H548" s="11">
        <v>970</v>
      </c>
      <c r="I548" s="3"/>
    </row>
    <row r="549" spans="1:9" s="4" customFormat="1" x14ac:dyDescent="0.5">
      <c r="A549" s="8">
        <v>2022</v>
      </c>
      <c r="B549" s="9" t="s">
        <v>22</v>
      </c>
      <c r="C549" s="9" t="s">
        <v>8</v>
      </c>
      <c r="D549" s="9" t="s">
        <v>214</v>
      </c>
      <c r="E549" s="9" t="s">
        <v>230</v>
      </c>
      <c r="F549" s="10">
        <v>704532.64</v>
      </c>
      <c r="G549" s="10">
        <v>168</v>
      </c>
      <c r="H549" s="11">
        <v>97</v>
      </c>
      <c r="I549" s="3"/>
    </row>
    <row r="550" spans="1:9" s="4" customFormat="1" x14ac:dyDescent="0.5">
      <c r="A550" s="8">
        <v>2022</v>
      </c>
      <c r="B550" s="9" t="s">
        <v>19</v>
      </c>
      <c r="C550" s="9" t="s">
        <v>8</v>
      </c>
      <c r="D550" s="9" t="s">
        <v>151</v>
      </c>
      <c r="E550" s="9" t="s">
        <v>234</v>
      </c>
      <c r="F550" s="10">
        <v>706171.2</v>
      </c>
      <c r="G550" s="10">
        <v>168</v>
      </c>
      <c r="H550" s="11">
        <v>97</v>
      </c>
      <c r="I550" s="3"/>
    </row>
    <row r="551" spans="1:9" s="4" customFormat="1" x14ac:dyDescent="0.5">
      <c r="A551" s="8">
        <v>2022</v>
      </c>
      <c r="B551" s="9" t="s">
        <v>27</v>
      </c>
      <c r="C551" s="9" t="s">
        <v>8</v>
      </c>
      <c r="D551" s="9" t="s">
        <v>89</v>
      </c>
      <c r="E551" s="9" t="s">
        <v>234</v>
      </c>
      <c r="F551" s="10">
        <v>706171.2</v>
      </c>
      <c r="G551" s="10">
        <v>312</v>
      </c>
      <c r="H551" s="11">
        <v>983</v>
      </c>
      <c r="I551" s="3"/>
    </row>
    <row r="552" spans="1:9" s="4" customFormat="1" x14ac:dyDescent="0.5">
      <c r="A552" s="8">
        <v>2022</v>
      </c>
      <c r="B552" s="9" t="s">
        <v>21</v>
      </c>
      <c r="C552" s="9" t="s">
        <v>8</v>
      </c>
      <c r="D552" s="9" t="s">
        <v>154</v>
      </c>
      <c r="E552" s="9" t="s">
        <v>230</v>
      </c>
      <c r="F552" s="10">
        <v>712968.48</v>
      </c>
      <c r="G552" s="10">
        <v>795</v>
      </c>
      <c r="H552" s="11">
        <v>469</v>
      </c>
      <c r="I552" s="3"/>
    </row>
    <row r="553" spans="1:9" s="4" customFormat="1" x14ac:dyDescent="0.5">
      <c r="A553" s="8">
        <v>2022</v>
      </c>
      <c r="B553" s="9" t="s">
        <v>19</v>
      </c>
      <c r="C553" s="9" t="s">
        <v>8</v>
      </c>
      <c r="D553" s="9" t="s">
        <v>155</v>
      </c>
      <c r="E553" s="9" t="s">
        <v>231</v>
      </c>
      <c r="F553" s="10">
        <v>748492.64</v>
      </c>
      <c r="G553" s="10">
        <v>403</v>
      </c>
      <c r="H553" s="11">
        <v>953</v>
      </c>
      <c r="I553" s="3"/>
    </row>
    <row r="554" spans="1:9" s="4" customFormat="1" x14ac:dyDescent="0.5">
      <c r="A554" s="8">
        <v>2022</v>
      </c>
      <c r="B554" s="9" t="s">
        <v>21</v>
      </c>
      <c r="C554" s="9" t="s">
        <v>8</v>
      </c>
      <c r="D554" s="9" t="s">
        <v>184</v>
      </c>
      <c r="E554" s="9" t="s">
        <v>232</v>
      </c>
      <c r="F554" s="10">
        <v>764721.44</v>
      </c>
      <c r="G554" s="10">
        <v>168</v>
      </c>
      <c r="H554" s="11">
        <v>97</v>
      </c>
      <c r="I554" s="3"/>
    </row>
    <row r="555" spans="1:9" s="4" customFormat="1" x14ac:dyDescent="0.5">
      <c r="A555" s="8">
        <v>2022</v>
      </c>
      <c r="B555" s="9" t="s">
        <v>19</v>
      </c>
      <c r="C555" s="9" t="s">
        <v>8</v>
      </c>
      <c r="D555" s="9" t="s">
        <v>156</v>
      </c>
      <c r="E555" s="9" t="s">
        <v>231</v>
      </c>
      <c r="F555" s="10">
        <v>781448.64</v>
      </c>
      <c r="G555" s="10">
        <v>403</v>
      </c>
      <c r="H555" s="11">
        <v>953</v>
      </c>
      <c r="I555" s="3"/>
    </row>
    <row r="556" spans="1:9" s="4" customFormat="1" x14ac:dyDescent="0.5">
      <c r="A556" s="8">
        <v>2022</v>
      </c>
      <c r="B556" s="9" t="s">
        <v>21</v>
      </c>
      <c r="C556" s="9" t="s">
        <v>8</v>
      </c>
      <c r="D556" s="9" t="s">
        <v>124</v>
      </c>
      <c r="E556" s="9" t="s">
        <v>230</v>
      </c>
      <c r="F556" s="10">
        <v>786367.67999999993</v>
      </c>
      <c r="G556" s="10">
        <v>839</v>
      </c>
      <c r="H556" s="11">
        <v>983</v>
      </c>
      <c r="I556" s="3"/>
    </row>
    <row r="557" spans="1:9" s="4" customFormat="1" x14ac:dyDescent="0.5">
      <c r="A557" s="8">
        <v>2022</v>
      </c>
      <c r="B557" s="9" t="s">
        <v>24</v>
      </c>
      <c r="C557" s="9" t="s">
        <v>8</v>
      </c>
      <c r="D557" s="9" t="s">
        <v>157</v>
      </c>
      <c r="E557" s="9" t="s">
        <v>235</v>
      </c>
      <c r="F557" s="10">
        <v>786367.67999999993</v>
      </c>
      <c r="G557" s="10">
        <v>168</v>
      </c>
      <c r="H557" s="11">
        <v>97</v>
      </c>
      <c r="I557" s="3"/>
    </row>
    <row r="558" spans="1:9" s="4" customFormat="1" x14ac:dyDescent="0.5">
      <c r="A558" s="8">
        <v>2022</v>
      </c>
      <c r="B558" s="9" t="s">
        <v>26</v>
      </c>
      <c r="C558" s="9" t="s">
        <v>8</v>
      </c>
      <c r="D558" s="9" t="s">
        <v>47</v>
      </c>
      <c r="E558" s="9" t="s">
        <v>233</v>
      </c>
      <c r="F558" s="10">
        <v>801894.24</v>
      </c>
      <c r="G558" s="10">
        <v>610</v>
      </c>
      <c r="H558" s="11">
        <v>970</v>
      </c>
      <c r="I558" s="3"/>
    </row>
    <row r="559" spans="1:9" s="4" customFormat="1" x14ac:dyDescent="0.5">
      <c r="A559" s="8">
        <v>2022</v>
      </c>
      <c r="B559" s="9" t="s">
        <v>21</v>
      </c>
      <c r="C559" s="9" t="s">
        <v>8</v>
      </c>
      <c r="D559" s="9" t="s">
        <v>196</v>
      </c>
      <c r="E559" s="9" t="s">
        <v>232</v>
      </c>
      <c r="F559" s="10">
        <v>801894.24</v>
      </c>
      <c r="G559" s="10">
        <v>692</v>
      </c>
      <c r="H559" s="11">
        <v>300</v>
      </c>
      <c r="I559" s="3"/>
    </row>
    <row r="560" spans="1:9" s="4" customFormat="1" x14ac:dyDescent="0.5">
      <c r="A560" s="8">
        <v>2022</v>
      </c>
      <c r="B560" s="9" t="s">
        <v>27</v>
      </c>
      <c r="C560" s="9" t="s">
        <v>8</v>
      </c>
      <c r="D560" s="9" t="s">
        <v>208</v>
      </c>
      <c r="E560" s="9" t="s">
        <v>232</v>
      </c>
      <c r="F560" s="10">
        <v>801894.24</v>
      </c>
      <c r="G560" s="10">
        <v>93</v>
      </c>
      <c r="H560" s="11">
        <v>852</v>
      </c>
      <c r="I560" s="3"/>
    </row>
    <row r="561" spans="1:9" s="4" customFormat="1" x14ac:dyDescent="0.5">
      <c r="A561" s="8">
        <v>2022</v>
      </c>
      <c r="B561" s="9" t="s">
        <v>24</v>
      </c>
      <c r="C561" s="9" t="s">
        <v>8</v>
      </c>
      <c r="D561" s="9" t="s">
        <v>203</v>
      </c>
      <c r="E561" s="9" t="s">
        <v>229</v>
      </c>
      <c r="F561" s="10">
        <v>801894.24</v>
      </c>
      <c r="G561" s="10">
        <v>610</v>
      </c>
      <c r="H561" s="11">
        <v>970</v>
      </c>
      <c r="I561" s="3"/>
    </row>
    <row r="562" spans="1:9" s="4" customFormat="1" x14ac:dyDescent="0.5">
      <c r="A562" s="8">
        <v>2022</v>
      </c>
      <c r="B562" s="9" t="s">
        <v>26</v>
      </c>
      <c r="C562" s="9" t="s">
        <v>8</v>
      </c>
      <c r="D562" s="9" t="s">
        <v>160</v>
      </c>
      <c r="E562" s="9" t="s">
        <v>233</v>
      </c>
      <c r="F562" s="10">
        <v>814604</v>
      </c>
      <c r="G562" s="10">
        <v>403</v>
      </c>
      <c r="H562" s="11">
        <v>953</v>
      </c>
      <c r="I562" s="3"/>
    </row>
    <row r="563" spans="1:9" s="4" customFormat="1" x14ac:dyDescent="0.5">
      <c r="A563" s="8">
        <v>2022</v>
      </c>
      <c r="B563" s="9" t="s">
        <v>25</v>
      </c>
      <c r="C563" s="9" t="s">
        <v>8</v>
      </c>
      <c r="D563" s="9" t="s">
        <v>218</v>
      </c>
      <c r="E563" s="9" t="s">
        <v>234</v>
      </c>
      <c r="F563" s="10">
        <v>815366.72</v>
      </c>
      <c r="G563" s="10">
        <v>784</v>
      </c>
      <c r="H563" s="11">
        <v>540</v>
      </c>
      <c r="I563" s="3"/>
    </row>
    <row r="564" spans="1:9" s="4" customFormat="1" x14ac:dyDescent="0.5">
      <c r="A564" s="8">
        <v>2022</v>
      </c>
      <c r="B564" s="9" t="s">
        <v>21</v>
      </c>
      <c r="C564" s="9" t="s">
        <v>8</v>
      </c>
      <c r="D564" s="9" t="s">
        <v>161</v>
      </c>
      <c r="E564" s="9" t="s">
        <v>229</v>
      </c>
      <c r="F564" s="10">
        <v>815624.32</v>
      </c>
      <c r="G564" s="10">
        <v>568</v>
      </c>
      <c r="H564" s="11">
        <v>505</v>
      </c>
      <c r="I564" s="3"/>
    </row>
    <row r="565" spans="1:9" s="4" customFormat="1" x14ac:dyDescent="0.5">
      <c r="A565" s="8">
        <v>2022</v>
      </c>
      <c r="B565" s="9" t="s">
        <v>26</v>
      </c>
      <c r="C565" s="9" t="s">
        <v>8</v>
      </c>
      <c r="D565" s="9" t="s">
        <v>162</v>
      </c>
      <c r="E565" s="9" t="s">
        <v>233</v>
      </c>
      <c r="F565" s="10">
        <v>816850.72</v>
      </c>
      <c r="G565" s="10">
        <v>312</v>
      </c>
      <c r="H565" s="11">
        <v>983</v>
      </c>
      <c r="I565" s="3"/>
    </row>
    <row r="566" spans="1:9" s="4" customFormat="1" x14ac:dyDescent="0.5">
      <c r="A566" s="8">
        <v>2022</v>
      </c>
      <c r="B566" s="9" t="s">
        <v>22</v>
      </c>
      <c r="C566" s="9" t="s">
        <v>8</v>
      </c>
      <c r="D566" s="9" t="s">
        <v>221</v>
      </c>
      <c r="E566" s="9" t="s">
        <v>230</v>
      </c>
      <c r="F566" s="10">
        <v>819636.16</v>
      </c>
      <c r="G566" s="10">
        <v>210</v>
      </c>
      <c r="H566" s="11">
        <v>177</v>
      </c>
      <c r="I566" s="3"/>
    </row>
    <row r="567" spans="1:9" s="4" customFormat="1" x14ac:dyDescent="0.5">
      <c r="A567" s="8">
        <v>2022</v>
      </c>
      <c r="B567" s="9" t="s">
        <v>20</v>
      </c>
      <c r="C567" s="9" t="s">
        <v>8</v>
      </c>
      <c r="D567" s="9" t="s">
        <v>182</v>
      </c>
      <c r="E567" s="9" t="s">
        <v>235</v>
      </c>
      <c r="F567" s="10">
        <v>819636.16</v>
      </c>
      <c r="G567" s="10">
        <v>287</v>
      </c>
      <c r="H567" s="11">
        <v>744</v>
      </c>
      <c r="I567" s="3"/>
    </row>
    <row r="568" spans="1:9" s="4" customFormat="1" x14ac:dyDescent="0.5">
      <c r="A568" s="8">
        <v>2022</v>
      </c>
      <c r="B568" s="9" t="s">
        <v>25</v>
      </c>
      <c r="C568" s="9" t="s">
        <v>8</v>
      </c>
      <c r="D568" s="9" t="s">
        <v>200</v>
      </c>
      <c r="E568" s="9" t="s">
        <v>235</v>
      </c>
      <c r="F568" s="10">
        <v>819636.16</v>
      </c>
      <c r="G568" s="10">
        <v>839</v>
      </c>
      <c r="H568" s="11">
        <v>334</v>
      </c>
      <c r="I568" s="3"/>
    </row>
    <row r="569" spans="1:9" s="4" customFormat="1" x14ac:dyDescent="0.5">
      <c r="A569" s="8">
        <v>2022</v>
      </c>
      <c r="B569" s="9" t="s">
        <v>25</v>
      </c>
      <c r="C569" s="9" t="s">
        <v>8</v>
      </c>
      <c r="D569" s="9" t="s">
        <v>165</v>
      </c>
      <c r="E569" s="9" t="s">
        <v>233</v>
      </c>
      <c r="F569" s="10">
        <v>828244.47999999998</v>
      </c>
      <c r="G569" s="10">
        <v>210</v>
      </c>
      <c r="H569" s="11">
        <v>177</v>
      </c>
      <c r="I569" s="3"/>
    </row>
    <row r="570" spans="1:9" s="4" customFormat="1" x14ac:dyDescent="0.5">
      <c r="A570" s="8">
        <v>2022</v>
      </c>
      <c r="B570" s="9" t="s">
        <v>21</v>
      </c>
      <c r="C570" s="9" t="s">
        <v>8</v>
      </c>
      <c r="D570" s="9" t="s">
        <v>201</v>
      </c>
      <c r="E570" s="9" t="s">
        <v>232</v>
      </c>
      <c r="F570" s="10">
        <v>836894.24</v>
      </c>
      <c r="G570" s="10">
        <v>968</v>
      </c>
      <c r="H570" s="11">
        <v>330</v>
      </c>
      <c r="I570" s="3"/>
    </row>
    <row r="571" spans="1:9" s="4" customFormat="1" x14ac:dyDescent="0.5">
      <c r="A571" s="8">
        <v>2022</v>
      </c>
      <c r="B571" s="9" t="s">
        <v>25</v>
      </c>
      <c r="C571" s="9" t="s">
        <v>8</v>
      </c>
      <c r="D571" s="9" t="s">
        <v>207</v>
      </c>
      <c r="E571" s="9" t="s">
        <v>231</v>
      </c>
      <c r="F571" s="10">
        <v>836894.24</v>
      </c>
      <c r="G571" s="10">
        <v>839</v>
      </c>
      <c r="H571" s="11">
        <v>334</v>
      </c>
      <c r="I571" s="3"/>
    </row>
    <row r="572" spans="1:9" s="4" customFormat="1" x14ac:dyDescent="0.5">
      <c r="A572" s="8">
        <v>2022</v>
      </c>
      <c r="B572" s="9" t="s">
        <v>19</v>
      </c>
      <c r="C572" s="9" t="s">
        <v>8</v>
      </c>
      <c r="D572" s="9" t="s">
        <v>166</v>
      </c>
      <c r="E572" s="9" t="s">
        <v>234</v>
      </c>
      <c r="F572" s="10">
        <v>837550.56</v>
      </c>
      <c r="G572" s="10">
        <v>872</v>
      </c>
      <c r="H572" s="11">
        <v>249</v>
      </c>
      <c r="I572" s="3"/>
    </row>
    <row r="573" spans="1:9" s="4" customFormat="1" x14ac:dyDescent="0.5">
      <c r="A573" s="8">
        <v>2022</v>
      </c>
      <c r="B573" s="9" t="s">
        <v>18</v>
      </c>
      <c r="C573" s="9" t="s">
        <v>8</v>
      </c>
      <c r="D573" s="9" t="s">
        <v>168</v>
      </c>
      <c r="E573" s="9" t="s">
        <v>232</v>
      </c>
      <c r="F573" s="10">
        <v>878315.2</v>
      </c>
      <c r="G573" s="10">
        <v>93</v>
      </c>
      <c r="H573" s="11">
        <v>852</v>
      </c>
      <c r="I573" s="3"/>
    </row>
    <row r="574" spans="1:9" s="4" customFormat="1" x14ac:dyDescent="0.5">
      <c r="A574" s="8">
        <v>2022</v>
      </c>
      <c r="B574" s="9" t="s">
        <v>25</v>
      </c>
      <c r="C574" s="9" t="s">
        <v>8</v>
      </c>
      <c r="D574" s="9" t="s">
        <v>169</v>
      </c>
      <c r="E574" s="9" t="s">
        <v>232</v>
      </c>
      <c r="F574" s="10">
        <v>883137.92</v>
      </c>
      <c r="G574" s="10">
        <v>968</v>
      </c>
      <c r="H574" s="11">
        <v>330</v>
      </c>
      <c r="I574" s="3"/>
    </row>
    <row r="575" spans="1:9" s="4" customFormat="1" x14ac:dyDescent="0.5">
      <c r="A575" s="8">
        <v>2022</v>
      </c>
      <c r="B575" s="9" t="s">
        <v>19</v>
      </c>
      <c r="C575" s="9" t="s">
        <v>8</v>
      </c>
      <c r="D575" s="9" t="s">
        <v>111</v>
      </c>
      <c r="E575" s="9" t="s">
        <v>236</v>
      </c>
      <c r="F575" s="10">
        <v>883137.92</v>
      </c>
      <c r="G575" s="10">
        <v>839</v>
      </c>
      <c r="H575" s="11">
        <v>334</v>
      </c>
      <c r="I575" s="3"/>
    </row>
    <row r="576" spans="1:9" s="4" customFormat="1" x14ac:dyDescent="0.5">
      <c r="A576" s="8">
        <v>2022</v>
      </c>
      <c r="B576" s="9" t="s">
        <v>25</v>
      </c>
      <c r="C576" s="9" t="s">
        <v>8</v>
      </c>
      <c r="D576" s="9" t="s">
        <v>189</v>
      </c>
      <c r="E576" s="9" t="s">
        <v>234</v>
      </c>
      <c r="F576" s="10">
        <v>905044</v>
      </c>
      <c r="G576" s="10">
        <v>413</v>
      </c>
      <c r="H576" s="11">
        <v>930</v>
      </c>
      <c r="I576" s="3"/>
    </row>
    <row r="577" spans="1:9" s="4" customFormat="1" x14ac:dyDescent="0.5">
      <c r="A577" s="8">
        <v>2022</v>
      </c>
      <c r="B577" s="9" t="s">
        <v>21</v>
      </c>
      <c r="C577" s="9" t="s">
        <v>8</v>
      </c>
      <c r="D577" s="9" t="s">
        <v>171</v>
      </c>
      <c r="E577" s="9" t="s">
        <v>229</v>
      </c>
      <c r="F577" s="10">
        <v>907140.64</v>
      </c>
      <c r="G577" s="10">
        <v>168</v>
      </c>
      <c r="H577" s="11">
        <v>97</v>
      </c>
      <c r="I577" s="3"/>
    </row>
    <row r="578" spans="1:9" s="4" customFormat="1" x14ac:dyDescent="0.5">
      <c r="A578" s="8">
        <v>2022</v>
      </c>
      <c r="B578" s="9" t="s">
        <v>26</v>
      </c>
      <c r="C578" s="9" t="s">
        <v>8</v>
      </c>
      <c r="D578" s="9" t="s">
        <v>173</v>
      </c>
      <c r="E578" s="9" t="s">
        <v>234</v>
      </c>
      <c r="F578" s="10">
        <v>907777.92</v>
      </c>
      <c r="G578" s="10">
        <v>403</v>
      </c>
      <c r="H578" s="11">
        <v>953</v>
      </c>
      <c r="I578" s="3"/>
    </row>
    <row r="579" spans="1:9" s="4" customFormat="1" x14ac:dyDescent="0.5">
      <c r="A579" s="8">
        <v>2022</v>
      </c>
      <c r="B579" s="9" t="s">
        <v>26</v>
      </c>
      <c r="C579" s="9" t="s">
        <v>8</v>
      </c>
      <c r="D579" s="9" t="s">
        <v>33</v>
      </c>
      <c r="E579" s="9" t="s">
        <v>234</v>
      </c>
      <c r="F579" s="10">
        <v>911080.8</v>
      </c>
      <c r="G579" s="10">
        <v>577</v>
      </c>
      <c r="H579" s="11">
        <v>175</v>
      </c>
      <c r="I579" s="3"/>
    </row>
    <row r="580" spans="1:9" s="4" customFormat="1" x14ac:dyDescent="0.5">
      <c r="A580" s="8">
        <v>2022</v>
      </c>
      <c r="B580" s="9" t="s">
        <v>25</v>
      </c>
      <c r="C580" s="9" t="s">
        <v>13</v>
      </c>
      <c r="D580" s="9" t="s">
        <v>170</v>
      </c>
      <c r="E580" s="9" t="s">
        <v>231</v>
      </c>
      <c r="F580" s="10">
        <v>925289.12</v>
      </c>
      <c r="G580" s="10">
        <v>839</v>
      </c>
      <c r="H580" s="11">
        <v>334</v>
      </c>
      <c r="I580" s="3"/>
    </row>
    <row r="581" spans="1:9" s="4" customFormat="1" x14ac:dyDescent="0.5">
      <c r="A581" s="8">
        <v>2022</v>
      </c>
      <c r="B581" s="9" t="s">
        <v>25</v>
      </c>
      <c r="C581" s="9" t="s">
        <v>10</v>
      </c>
      <c r="D581" s="9" t="s">
        <v>82</v>
      </c>
      <c r="E581" s="9" t="s">
        <v>233</v>
      </c>
      <c r="F581" s="10">
        <v>928877.6</v>
      </c>
      <c r="G581" s="10">
        <v>210</v>
      </c>
      <c r="H581" s="11">
        <v>177</v>
      </c>
      <c r="I581" s="3"/>
    </row>
    <row r="582" spans="1:9" s="4" customFormat="1" x14ac:dyDescent="0.5">
      <c r="A582" s="8">
        <v>2022</v>
      </c>
      <c r="B582" s="9" t="s">
        <v>23</v>
      </c>
      <c r="C582" s="9" t="s">
        <v>8</v>
      </c>
      <c r="D582" s="9" t="s">
        <v>133</v>
      </c>
      <c r="E582" s="9" t="s">
        <v>231</v>
      </c>
      <c r="F582" s="10">
        <v>935664.8</v>
      </c>
      <c r="G582" s="10">
        <v>93</v>
      </c>
      <c r="H582" s="11">
        <v>852</v>
      </c>
      <c r="I582" s="3"/>
    </row>
    <row r="583" spans="1:9" s="4" customFormat="1" x14ac:dyDescent="0.5">
      <c r="A583" s="8">
        <v>2022</v>
      </c>
      <c r="B583" s="9" t="s">
        <v>22</v>
      </c>
      <c r="C583" s="9" t="s">
        <v>9</v>
      </c>
      <c r="D583" s="9" t="s">
        <v>159</v>
      </c>
      <c r="E583" s="9" t="s">
        <v>230</v>
      </c>
      <c r="F583" s="10">
        <v>937183.52</v>
      </c>
      <c r="G583" s="10">
        <v>312</v>
      </c>
      <c r="H583" s="11">
        <v>983</v>
      </c>
      <c r="I583" s="3"/>
    </row>
    <row r="584" spans="1:9" s="4" customFormat="1" x14ac:dyDescent="0.5">
      <c r="A584" s="8">
        <v>2022</v>
      </c>
      <c r="B584" s="9" t="s">
        <v>21</v>
      </c>
      <c r="C584" s="9" t="s">
        <v>8</v>
      </c>
      <c r="D584" s="9" t="s">
        <v>142</v>
      </c>
      <c r="E584" s="9" t="s">
        <v>230</v>
      </c>
      <c r="F584" s="10">
        <v>941072.16</v>
      </c>
      <c r="G584" s="10">
        <v>597</v>
      </c>
      <c r="H584" s="11">
        <v>287</v>
      </c>
      <c r="I584" s="3"/>
    </row>
    <row r="585" spans="1:9" s="4" customFormat="1" x14ac:dyDescent="0.5">
      <c r="A585" s="8">
        <v>2022</v>
      </c>
      <c r="B585" s="9" t="s">
        <v>25</v>
      </c>
      <c r="C585" s="9" t="s">
        <v>8</v>
      </c>
      <c r="D585" s="9" t="s">
        <v>113</v>
      </c>
      <c r="E585" s="9" t="s">
        <v>233</v>
      </c>
      <c r="F585" s="10">
        <v>951972</v>
      </c>
      <c r="G585" s="10">
        <v>287</v>
      </c>
      <c r="H585" s="11">
        <v>744</v>
      </c>
      <c r="I585" s="3"/>
    </row>
    <row r="586" spans="1:9" s="4" customFormat="1" x14ac:dyDescent="0.5">
      <c r="A586" s="8">
        <v>2022</v>
      </c>
      <c r="B586" s="9" t="s">
        <v>19</v>
      </c>
      <c r="C586" s="9" t="s">
        <v>8</v>
      </c>
      <c r="D586" s="9" t="s">
        <v>163</v>
      </c>
      <c r="E586" s="9" t="s">
        <v>230</v>
      </c>
      <c r="F586" s="10">
        <v>954561.44</v>
      </c>
      <c r="G586" s="10">
        <v>287</v>
      </c>
      <c r="H586" s="11">
        <v>744</v>
      </c>
      <c r="I586" s="3"/>
    </row>
    <row r="587" spans="1:9" s="4" customFormat="1" x14ac:dyDescent="0.5">
      <c r="A587" s="8">
        <v>2022</v>
      </c>
      <c r="B587" s="9" t="s">
        <v>18</v>
      </c>
      <c r="C587" s="9" t="s">
        <v>8</v>
      </c>
      <c r="D587" s="9" t="s">
        <v>106</v>
      </c>
      <c r="E587" s="9" t="s">
        <v>232</v>
      </c>
      <c r="F587" s="10">
        <v>964759.04000000004</v>
      </c>
      <c r="G587" s="10">
        <v>93</v>
      </c>
      <c r="H587" s="11">
        <v>852</v>
      </c>
      <c r="I587" s="3"/>
    </row>
    <row r="588" spans="1:9" s="4" customFormat="1" x14ac:dyDescent="0.5">
      <c r="A588" s="8">
        <v>2022</v>
      </c>
      <c r="B588" s="9" t="s">
        <v>20</v>
      </c>
      <c r="C588" s="9" t="s">
        <v>8</v>
      </c>
      <c r="D588" s="9" t="s">
        <v>72</v>
      </c>
      <c r="E588" s="9" t="s">
        <v>235</v>
      </c>
      <c r="F588" s="10">
        <v>972447.84</v>
      </c>
      <c r="G588" s="10">
        <v>287</v>
      </c>
      <c r="H588" s="11">
        <v>744</v>
      </c>
      <c r="I588" s="3"/>
    </row>
    <row r="589" spans="1:9" s="4" customFormat="1" x14ac:dyDescent="0.5">
      <c r="A589" s="8">
        <v>2022</v>
      </c>
      <c r="B589" s="9" t="s">
        <v>25</v>
      </c>
      <c r="C589" s="9" t="s">
        <v>8</v>
      </c>
      <c r="D589" s="9" t="s">
        <v>176</v>
      </c>
      <c r="E589" s="9" t="s">
        <v>234</v>
      </c>
      <c r="F589" s="10">
        <v>972776</v>
      </c>
      <c r="G589" s="10">
        <v>93</v>
      </c>
      <c r="H589" s="11">
        <v>852</v>
      </c>
      <c r="I589" s="3"/>
    </row>
    <row r="590" spans="1:9" s="4" customFormat="1" x14ac:dyDescent="0.5">
      <c r="A590" s="8">
        <v>2022</v>
      </c>
      <c r="B590" s="9" t="s">
        <v>24</v>
      </c>
      <c r="C590" s="9" t="s">
        <v>8</v>
      </c>
      <c r="D590" s="9" t="s">
        <v>147</v>
      </c>
      <c r="E590" s="9" t="s">
        <v>229</v>
      </c>
      <c r="F590" s="10">
        <v>972776</v>
      </c>
      <c r="G590" s="10">
        <v>568</v>
      </c>
      <c r="H590" s="11">
        <v>505</v>
      </c>
      <c r="I590" s="3"/>
    </row>
    <row r="591" spans="1:9" s="4" customFormat="1" x14ac:dyDescent="0.5">
      <c r="A591" s="8">
        <v>2022</v>
      </c>
      <c r="B591" s="9" t="s">
        <v>21</v>
      </c>
      <c r="C591" s="9" t="s">
        <v>8</v>
      </c>
      <c r="D591" s="9" t="s">
        <v>195</v>
      </c>
      <c r="E591" s="9" t="s">
        <v>235</v>
      </c>
      <c r="F591" s="10">
        <v>972776</v>
      </c>
      <c r="G591" s="10">
        <v>577</v>
      </c>
      <c r="H591" s="11">
        <v>175</v>
      </c>
      <c r="I591" s="3"/>
    </row>
    <row r="592" spans="1:9" s="4" customFormat="1" x14ac:dyDescent="0.5">
      <c r="A592" s="8">
        <v>2022</v>
      </c>
      <c r="B592" s="9" t="s">
        <v>22</v>
      </c>
      <c r="C592" s="9" t="s">
        <v>8</v>
      </c>
      <c r="D592" s="9" t="s">
        <v>158</v>
      </c>
      <c r="E592" s="9" t="s">
        <v>231</v>
      </c>
      <c r="F592" s="10">
        <v>972776</v>
      </c>
      <c r="G592" s="10">
        <v>610</v>
      </c>
      <c r="H592" s="11">
        <v>970</v>
      </c>
      <c r="I592" s="3"/>
    </row>
    <row r="593" spans="1:9" s="4" customFormat="1" x14ac:dyDescent="0.5">
      <c r="A593" s="8">
        <v>2022</v>
      </c>
      <c r="B593" s="9" t="s">
        <v>19</v>
      </c>
      <c r="C593" s="9" t="s">
        <v>8</v>
      </c>
      <c r="D593" s="9" t="s">
        <v>138</v>
      </c>
      <c r="E593" s="9" t="s">
        <v>230</v>
      </c>
      <c r="F593" s="10">
        <v>973183.67999999993</v>
      </c>
      <c r="G593" s="10">
        <v>568</v>
      </c>
      <c r="H593" s="11">
        <v>505</v>
      </c>
      <c r="I593" s="3"/>
    </row>
    <row r="594" spans="1:9" s="4" customFormat="1" x14ac:dyDescent="0.5">
      <c r="A594" s="8">
        <v>2022</v>
      </c>
      <c r="B594" s="9" t="s">
        <v>27</v>
      </c>
      <c r="C594" s="9" t="s">
        <v>8</v>
      </c>
      <c r="D594" s="9" t="s">
        <v>130</v>
      </c>
      <c r="E594" s="9" t="s">
        <v>234</v>
      </c>
      <c r="F594" s="10">
        <v>987995.67999999993</v>
      </c>
      <c r="G594" s="10">
        <v>692</v>
      </c>
      <c r="H594" s="11">
        <v>300</v>
      </c>
      <c r="I594" s="3"/>
    </row>
    <row r="595" spans="1:9" s="4" customFormat="1" x14ac:dyDescent="0.5">
      <c r="A595" s="8">
        <v>2022</v>
      </c>
      <c r="B595" s="9" t="s">
        <v>19</v>
      </c>
      <c r="C595" s="9" t="s">
        <v>8</v>
      </c>
      <c r="D595" s="9" t="s">
        <v>99</v>
      </c>
      <c r="E595" s="9" t="s">
        <v>234</v>
      </c>
      <c r="F595" s="10">
        <v>1001880.32</v>
      </c>
      <c r="G595" s="10">
        <v>168</v>
      </c>
      <c r="H595" s="11">
        <v>97</v>
      </c>
      <c r="I595" s="3"/>
    </row>
    <row r="596" spans="1:9" s="4" customFormat="1" x14ac:dyDescent="0.5">
      <c r="A596" s="8">
        <v>2022</v>
      </c>
      <c r="B596" s="9" t="s">
        <v>24</v>
      </c>
      <c r="C596" s="9" t="s">
        <v>8</v>
      </c>
      <c r="D596" s="9" t="s">
        <v>51</v>
      </c>
      <c r="E596" s="9" t="s">
        <v>235</v>
      </c>
      <c r="F596" s="10">
        <v>1027542.88</v>
      </c>
      <c r="G596" s="10">
        <v>795</v>
      </c>
      <c r="H596" s="11">
        <v>469</v>
      </c>
      <c r="I596" s="3"/>
    </row>
    <row r="597" spans="1:9" s="4" customFormat="1" x14ac:dyDescent="0.5">
      <c r="A597" s="8">
        <v>2022</v>
      </c>
      <c r="B597" s="9" t="s">
        <v>24</v>
      </c>
      <c r="C597" s="9" t="s">
        <v>8</v>
      </c>
      <c r="D597" s="9" t="s">
        <v>127</v>
      </c>
      <c r="E597" s="9" t="s">
        <v>232</v>
      </c>
      <c r="F597" s="10">
        <v>1029721.28</v>
      </c>
      <c r="G597" s="10">
        <v>610</v>
      </c>
      <c r="H597" s="11">
        <v>970</v>
      </c>
      <c r="I597" s="3"/>
    </row>
    <row r="598" spans="1:9" s="4" customFormat="1" x14ac:dyDescent="0.5">
      <c r="A598" s="8">
        <v>2022</v>
      </c>
      <c r="B598" s="9" t="s">
        <v>18</v>
      </c>
      <c r="C598" s="9" t="s">
        <v>8</v>
      </c>
      <c r="D598" s="9" t="s">
        <v>146</v>
      </c>
      <c r="E598" s="9" t="s">
        <v>232</v>
      </c>
      <c r="F598" s="10">
        <v>1032643.36</v>
      </c>
      <c r="G598" s="10">
        <v>692</v>
      </c>
      <c r="H598" s="11">
        <v>300</v>
      </c>
      <c r="I598" s="3"/>
    </row>
    <row r="599" spans="1:9" s="4" customFormat="1" x14ac:dyDescent="0.5">
      <c r="A599" s="8">
        <v>2022</v>
      </c>
      <c r="B599" s="9" t="s">
        <v>18</v>
      </c>
      <c r="C599" s="9" t="s">
        <v>8</v>
      </c>
      <c r="D599" s="9" t="s">
        <v>91</v>
      </c>
      <c r="E599" s="9" t="s">
        <v>229</v>
      </c>
      <c r="F599" s="10">
        <v>1032643.36</v>
      </c>
      <c r="G599" s="10">
        <v>968</v>
      </c>
      <c r="H599" s="11">
        <v>330</v>
      </c>
      <c r="I599" s="3"/>
    </row>
    <row r="600" spans="1:9" s="4" customFormat="1" x14ac:dyDescent="0.5">
      <c r="A600" s="8">
        <v>2022</v>
      </c>
      <c r="B600" s="9" t="s">
        <v>18</v>
      </c>
      <c r="C600" s="9" t="s">
        <v>11</v>
      </c>
      <c r="D600" s="9" t="s">
        <v>178</v>
      </c>
      <c r="E600" s="9" t="s">
        <v>229</v>
      </c>
      <c r="F600" s="10">
        <v>1044441.44</v>
      </c>
      <c r="G600" s="10">
        <v>839</v>
      </c>
      <c r="H600" s="11">
        <v>983</v>
      </c>
      <c r="I600" s="3"/>
    </row>
    <row r="601" spans="1:9" s="4" customFormat="1" x14ac:dyDescent="0.5">
      <c r="A601" s="8">
        <v>2022</v>
      </c>
      <c r="B601" s="9" t="s">
        <v>19</v>
      </c>
      <c r="C601" s="9" t="s">
        <v>8</v>
      </c>
      <c r="D601" s="9" t="s">
        <v>180</v>
      </c>
      <c r="E601" s="9" t="s">
        <v>233</v>
      </c>
      <c r="F601" s="10">
        <v>1055253.92</v>
      </c>
      <c r="G601" s="10">
        <v>577</v>
      </c>
      <c r="H601" s="11">
        <v>175</v>
      </c>
      <c r="I601" s="3"/>
    </row>
    <row r="602" spans="1:9" s="4" customFormat="1" x14ac:dyDescent="0.5">
      <c r="A602" s="8">
        <v>2022</v>
      </c>
      <c r="B602" s="9" t="s">
        <v>25</v>
      </c>
      <c r="C602" s="9" t="s">
        <v>8</v>
      </c>
      <c r="D602" s="9" t="s">
        <v>181</v>
      </c>
      <c r="E602" s="9" t="s">
        <v>232</v>
      </c>
      <c r="F602" s="10">
        <v>1092370.72</v>
      </c>
      <c r="G602" s="10">
        <v>968</v>
      </c>
      <c r="H602" s="11">
        <v>330</v>
      </c>
      <c r="I602" s="3"/>
    </row>
    <row r="603" spans="1:9" s="4" customFormat="1" x14ac:dyDescent="0.5">
      <c r="A603" s="8">
        <v>2022</v>
      </c>
      <c r="B603" s="9" t="s">
        <v>19</v>
      </c>
      <c r="C603" s="9" t="s">
        <v>8</v>
      </c>
      <c r="D603" s="9" t="s">
        <v>75</v>
      </c>
      <c r="E603" s="9" t="s">
        <v>234</v>
      </c>
      <c r="F603" s="10">
        <v>1102130.3999999999</v>
      </c>
      <c r="G603" s="10">
        <v>168</v>
      </c>
      <c r="H603" s="11">
        <v>97</v>
      </c>
      <c r="I603" s="3"/>
    </row>
    <row r="604" spans="1:9" s="4" customFormat="1" x14ac:dyDescent="0.5">
      <c r="A604" s="8">
        <v>2022</v>
      </c>
      <c r="B604" s="9" t="s">
        <v>21</v>
      </c>
      <c r="C604" s="9" t="s">
        <v>8</v>
      </c>
      <c r="D604" s="9" t="s">
        <v>226</v>
      </c>
      <c r="E604" s="9" t="s">
        <v>231</v>
      </c>
      <c r="F604" s="10">
        <v>1102130.3999999999</v>
      </c>
      <c r="G604" s="10">
        <v>839</v>
      </c>
      <c r="H604" s="11">
        <v>334</v>
      </c>
      <c r="I604" s="3"/>
    </row>
    <row r="605" spans="1:9" s="4" customFormat="1" x14ac:dyDescent="0.5">
      <c r="A605" s="8">
        <v>2022</v>
      </c>
      <c r="B605" s="9" t="s">
        <v>18</v>
      </c>
      <c r="C605" s="9" t="s">
        <v>8</v>
      </c>
      <c r="D605" s="9" t="s">
        <v>175</v>
      </c>
      <c r="E605" s="9" t="s">
        <v>232</v>
      </c>
      <c r="F605" s="10">
        <v>1109916.6399999999</v>
      </c>
      <c r="G605" s="10">
        <v>312</v>
      </c>
      <c r="H605" s="11">
        <v>983</v>
      </c>
      <c r="I605" s="3"/>
    </row>
    <row r="606" spans="1:9" s="4" customFormat="1" x14ac:dyDescent="0.5">
      <c r="A606" s="8">
        <v>2021</v>
      </c>
      <c r="B606" s="9" t="s">
        <v>27</v>
      </c>
      <c r="C606" s="9" t="s">
        <v>11</v>
      </c>
      <c r="D606" s="9" t="s">
        <v>28</v>
      </c>
      <c r="E606" s="9" t="s">
        <v>234</v>
      </c>
      <c r="F606" s="10">
        <v>102180</v>
      </c>
      <c r="G606" s="10">
        <v>249</v>
      </c>
      <c r="H606" s="11">
        <v>975</v>
      </c>
      <c r="I606" s="3"/>
    </row>
    <row r="607" spans="1:9" s="4" customFormat="1" x14ac:dyDescent="0.5">
      <c r="A607" s="8">
        <v>2021</v>
      </c>
      <c r="B607" s="9" t="s">
        <v>21</v>
      </c>
      <c r="C607" s="9" t="s">
        <v>11</v>
      </c>
      <c r="D607" s="9" t="s">
        <v>149</v>
      </c>
      <c r="E607" s="9" t="s">
        <v>235</v>
      </c>
      <c r="F607" s="10">
        <v>114441.60000000001</v>
      </c>
      <c r="G607" s="10">
        <v>249</v>
      </c>
      <c r="H607" s="11">
        <v>975</v>
      </c>
      <c r="I607" s="3"/>
    </row>
    <row r="608" spans="1:9" s="4" customFormat="1" x14ac:dyDescent="0.5">
      <c r="A608" s="8">
        <v>2021</v>
      </c>
      <c r="B608" s="9" t="s">
        <v>20</v>
      </c>
      <c r="C608" s="9" t="s">
        <v>14</v>
      </c>
      <c r="D608" s="9" t="s">
        <v>66</v>
      </c>
      <c r="E608" s="9" t="s">
        <v>228</v>
      </c>
      <c r="F608" s="10">
        <v>117088.16</v>
      </c>
      <c r="G608" s="10">
        <v>299</v>
      </c>
      <c r="H608" s="11">
        <v>975</v>
      </c>
      <c r="I608" s="3"/>
    </row>
    <row r="609" spans="1:9" s="4" customFormat="1" x14ac:dyDescent="0.5">
      <c r="A609" s="8">
        <v>2021</v>
      </c>
      <c r="B609" s="9" t="s">
        <v>19</v>
      </c>
      <c r="C609" s="9" t="s">
        <v>15</v>
      </c>
      <c r="D609" s="9" t="s">
        <v>119</v>
      </c>
      <c r="E609" s="9" t="s">
        <v>236</v>
      </c>
      <c r="F609" s="10">
        <v>123625.60000000001</v>
      </c>
      <c r="G609" s="10">
        <v>1000</v>
      </c>
      <c r="H609" s="11">
        <v>597</v>
      </c>
      <c r="I609" s="3"/>
    </row>
    <row r="610" spans="1:9" s="4" customFormat="1" x14ac:dyDescent="0.5">
      <c r="A610" s="8">
        <v>2021</v>
      </c>
      <c r="B610" s="9" t="s">
        <v>25</v>
      </c>
      <c r="C610" s="9" t="s">
        <v>15</v>
      </c>
      <c r="D610" s="9" t="s">
        <v>190</v>
      </c>
      <c r="E610" s="9" t="s">
        <v>232</v>
      </c>
      <c r="F610" s="10">
        <v>128292</v>
      </c>
      <c r="G610" s="10">
        <v>156</v>
      </c>
      <c r="H610" s="11">
        <v>54</v>
      </c>
      <c r="I610" s="3"/>
    </row>
    <row r="611" spans="1:9" s="4" customFormat="1" x14ac:dyDescent="0.5">
      <c r="A611" s="8">
        <v>2021</v>
      </c>
      <c r="B611" s="9" t="s">
        <v>27</v>
      </c>
      <c r="C611" s="9" t="s">
        <v>8</v>
      </c>
      <c r="D611" s="9" t="s">
        <v>86</v>
      </c>
      <c r="E611" s="9" t="s">
        <v>233</v>
      </c>
      <c r="F611" s="10">
        <v>129596.32</v>
      </c>
      <c r="G611" s="10">
        <v>342</v>
      </c>
      <c r="H611" s="11">
        <v>968</v>
      </c>
      <c r="I611" s="3"/>
    </row>
    <row r="612" spans="1:9" s="4" customFormat="1" x14ac:dyDescent="0.5">
      <c r="A612" s="8">
        <v>2021</v>
      </c>
      <c r="B612" s="9" t="s">
        <v>21</v>
      </c>
      <c r="C612" s="9" t="s">
        <v>16</v>
      </c>
      <c r="D612" s="9" t="s">
        <v>62</v>
      </c>
      <c r="E612" s="9" t="s">
        <v>231</v>
      </c>
      <c r="F612" s="10">
        <v>143687.04000000001</v>
      </c>
      <c r="G612" s="10">
        <v>537</v>
      </c>
      <c r="H612" s="11">
        <v>970</v>
      </c>
      <c r="I612" s="3"/>
    </row>
    <row r="613" spans="1:9" s="4" customFormat="1" x14ac:dyDescent="0.5">
      <c r="A613" s="8">
        <v>2021</v>
      </c>
      <c r="B613" s="9" t="s">
        <v>21</v>
      </c>
      <c r="C613" s="9" t="s">
        <v>15</v>
      </c>
      <c r="D613" s="9" t="s">
        <v>178</v>
      </c>
      <c r="E613" s="9" t="s">
        <v>229</v>
      </c>
      <c r="F613" s="10">
        <v>145079.20000000001</v>
      </c>
      <c r="G613" s="10">
        <v>232</v>
      </c>
      <c r="H613" s="11">
        <v>351</v>
      </c>
      <c r="I613" s="3"/>
    </row>
    <row r="614" spans="1:9" s="4" customFormat="1" x14ac:dyDescent="0.5">
      <c r="A614" s="8">
        <v>2021</v>
      </c>
      <c r="B614" s="9" t="s">
        <v>21</v>
      </c>
      <c r="C614" s="9" t="s">
        <v>16</v>
      </c>
      <c r="D614" s="9" t="s">
        <v>118</v>
      </c>
      <c r="E614" s="9" t="s">
        <v>228</v>
      </c>
      <c r="F614" s="10">
        <v>148080.79999999999</v>
      </c>
      <c r="G614" s="10">
        <v>537</v>
      </c>
      <c r="H614" s="11">
        <v>970</v>
      </c>
      <c r="I614" s="3"/>
    </row>
    <row r="615" spans="1:9" s="4" customFormat="1" x14ac:dyDescent="0.5">
      <c r="A615" s="8">
        <v>2021</v>
      </c>
      <c r="B615" s="9" t="s">
        <v>18</v>
      </c>
      <c r="C615" s="9" t="s">
        <v>15</v>
      </c>
      <c r="D615" s="9" t="s">
        <v>40</v>
      </c>
      <c r="E615" s="9" t="s">
        <v>229</v>
      </c>
      <c r="F615" s="10">
        <v>149596</v>
      </c>
      <c r="G615" s="10">
        <v>137</v>
      </c>
      <c r="H615" s="11">
        <v>784</v>
      </c>
      <c r="I615" s="3"/>
    </row>
    <row r="616" spans="1:9" s="4" customFormat="1" x14ac:dyDescent="0.5">
      <c r="A616" s="8">
        <v>2021</v>
      </c>
      <c r="B616" s="9" t="s">
        <v>20</v>
      </c>
      <c r="C616" s="9" t="s">
        <v>15</v>
      </c>
      <c r="D616" s="9" t="s">
        <v>54</v>
      </c>
      <c r="E616" s="9" t="s">
        <v>236</v>
      </c>
      <c r="F616" s="10">
        <v>151026.4</v>
      </c>
      <c r="G616" s="10">
        <v>389</v>
      </c>
      <c r="H616" s="11">
        <v>930</v>
      </c>
      <c r="I616" s="3"/>
    </row>
    <row r="617" spans="1:9" s="4" customFormat="1" x14ac:dyDescent="0.5">
      <c r="A617" s="8">
        <v>2021</v>
      </c>
      <c r="B617" s="9" t="s">
        <v>25</v>
      </c>
      <c r="C617" s="9" t="s">
        <v>17</v>
      </c>
      <c r="D617" s="9" t="s">
        <v>223</v>
      </c>
      <c r="E617" s="9" t="s">
        <v>236</v>
      </c>
      <c r="F617" s="10">
        <v>151026.4</v>
      </c>
      <c r="G617" s="10">
        <v>934</v>
      </c>
      <c r="H617" s="11">
        <v>75</v>
      </c>
      <c r="I617" s="3"/>
    </row>
    <row r="618" spans="1:9" s="4" customFormat="1" x14ac:dyDescent="0.5">
      <c r="A618" s="8">
        <v>2021</v>
      </c>
      <c r="B618" s="9" t="s">
        <v>19</v>
      </c>
      <c r="C618" s="9" t="s">
        <v>15</v>
      </c>
      <c r="D618" s="9" t="s">
        <v>93</v>
      </c>
      <c r="E618" s="9" t="s">
        <v>236</v>
      </c>
      <c r="F618" s="10">
        <v>151026.4</v>
      </c>
      <c r="G618" s="10">
        <v>1000</v>
      </c>
      <c r="H618" s="11">
        <v>597</v>
      </c>
      <c r="I618" s="3"/>
    </row>
    <row r="619" spans="1:9" s="4" customFormat="1" x14ac:dyDescent="0.5">
      <c r="A619" s="8">
        <v>2021</v>
      </c>
      <c r="B619" s="9" t="s">
        <v>19</v>
      </c>
      <c r="C619" s="9" t="s">
        <v>17</v>
      </c>
      <c r="D619" s="9" t="s">
        <v>169</v>
      </c>
      <c r="E619" s="9" t="s">
        <v>236</v>
      </c>
      <c r="F619" s="10">
        <v>151026.4</v>
      </c>
      <c r="G619" s="10">
        <v>970</v>
      </c>
      <c r="H619" s="11">
        <v>616</v>
      </c>
      <c r="I619" s="3"/>
    </row>
    <row r="620" spans="1:9" s="4" customFormat="1" x14ac:dyDescent="0.5">
      <c r="A620" s="8">
        <v>2021</v>
      </c>
      <c r="B620" s="9" t="s">
        <v>20</v>
      </c>
      <c r="C620" s="9" t="s">
        <v>9</v>
      </c>
      <c r="D620" s="9" t="s">
        <v>221</v>
      </c>
      <c r="E620" s="9" t="s">
        <v>236</v>
      </c>
      <c r="F620" s="10">
        <v>151026.4</v>
      </c>
      <c r="G620" s="10">
        <v>28</v>
      </c>
      <c r="H620" s="11">
        <v>287</v>
      </c>
      <c r="I620" s="3"/>
    </row>
    <row r="621" spans="1:9" s="4" customFormat="1" x14ac:dyDescent="0.5">
      <c r="A621" s="8">
        <v>2021</v>
      </c>
      <c r="B621" s="9" t="s">
        <v>23</v>
      </c>
      <c r="C621" s="9" t="s">
        <v>16</v>
      </c>
      <c r="D621" s="9" t="s">
        <v>31</v>
      </c>
      <c r="E621" s="9" t="s">
        <v>236</v>
      </c>
      <c r="F621" s="10">
        <v>151026.4</v>
      </c>
      <c r="G621" s="10">
        <v>98</v>
      </c>
      <c r="H621" s="11">
        <v>968</v>
      </c>
      <c r="I621" s="3"/>
    </row>
    <row r="622" spans="1:9" s="4" customFormat="1" x14ac:dyDescent="0.5">
      <c r="A622" s="8">
        <v>2021</v>
      </c>
      <c r="B622" s="9" t="s">
        <v>25</v>
      </c>
      <c r="C622" s="9" t="s">
        <v>12</v>
      </c>
      <c r="D622" s="9" t="s">
        <v>180</v>
      </c>
      <c r="E622" s="9" t="s">
        <v>236</v>
      </c>
      <c r="F622" s="10">
        <v>151026.4</v>
      </c>
      <c r="G622" s="10">
        <v>851</v>
      </c>
      <c r="H622" s="11">
        <v>162</v>
      </c>
      <c r="I622" s="3"/>
    </row>
    <row r="623" spans="1:9" s="4" customFormat="1" x14ac:dyDescent="0.5">
      <c r="A623" s="8">
        <v>2021</v>
      </c>
      <c r="B623" s="9" t="s">
        <v>25</v>
      </c>
      <c r="C623" s="9" t="s">
        <v>17</v>
      </c>
      <c r="D623" s="9" t="s">
        <v>183</v>
      </c>
      <c r="E623" s="9" t="s">
        <v>236</v>
      </c>
      <c r="F623" s="10">
        <v>151026.4</v>
      </c>
      <c r="G623" s="10">
        <v>934</v>
      </c>
      <c r="H623" s="11">
        <v>75</v>
      </c>
      <c r="I623" s="3"/>
    </row>
    <row r="624" spans="1:9" s="4" customFormat="1" x14ac:dyDescent="0.5">
      <c r="A624" s="8">
        <v>2021</v>
      </c>
      <c r="B624" s="9" t="s">
        <v>20</v>
      </c>
      <c r="C624" s="9" t="s">
        <v>15</v>
      </c>
      <c r="D624" s="9" t="s">
        <v>165</v>
      </c>
      <c r="E624" s="9" t="s">
        <v>236</v>
      </c>
      <c r="F624" s="10">
        <v>151026.4</v>
      </c>
      <c r="G624" s="10">
        <v>389</v>
      </c>
      <c r="H624" s="11">
        <v>930</v>
      </c>
      <c r="I624" s="3"/>
    </row>
    <row r="625" spans="1:9" s="4" customFormat="1" x14ac:dyDescent="0.5">
      <c r="A625" s="8">
        <v>2021</v>
      </c>
      <c r="B625" s="9" t="s">
        <v>19</v>
      </c>
      <c r="C625" s="9" t="s">
        <v>15</v>
      </c>
      <c r="D625" s="9" t="s">
        <v>141</v>
      </c>
      <c r="E625" s="9" t="s">
        <v>236</v>
      </c>
      <c r="F625" s="10">
        <v>151026.4</v>
      </c>
      <c r="G625" s="10">
        <v>1000</v>
      </c>
      <c r="H625" s="11">
        <v>597</v>
      </c>
      <c r="I625" s="3"/>
    </row>
    <row r="626" spans="1:9" s="4" customFormat="1" x14ac:dyDescent="0.5">
      <c r="A626" s="8">
        <v>2021</v>
      </c>
      <c r="B626" s="9" t="s">
        <v>20</v>
      </c>
      <c r="C626" s="9" t="s">
        <v>9</v>
      </c>
      <c r="D626" s="9" t="s">
        <v>218</v>
      </c>
      <c r="E626" s="9" t="s">
        <v>236</v>
      </c>
      <c r="F626" s="10">
        <v>151026.4</v>
      </c>
      <c r="G626" s="10">
        <v>28</v>
      </c>
      <c r="H626" s="11">
        <v>287</v>
      </c>
      <c r="I626" s="3"/>
    </row>
    <row r="627" spans="1:9" s="4" customFormat="1" x14ac:dyDescent="0.5">
      <c r="A627" s="8">
        <v>2021</v>
      </c>
      <c r="B627" s="9" t="s">
        <v>19</v>
      </c>
      <c r="C627" s="9" t="s">
        <v>17</v>
      </c>
      <c r="D627" s="9" t="s">
        <v>117</v>
      </c>
      <c r="E627" s="9" t="s">
        <v>236</v>
      </c>
      <c r="F627" s="10">
        <v>151026.4</v>
      </c>
      <c r="G627" s="10">
        <v>970</v>
      </c>
      <c r="H627" s="11">
        <v>616</v>
      </c>
      <c r="I627" s="3"/>
    </row>
    <row r="628" spans="1:9" s="4" customFormat="1" x14ac:dyDescent="0.5">
      <c r="A628" s="8">
        <v>2021</v>
      </c>
      <c r="B628" s="9" t="s">
        <v>20</v>
      </c>
      <c r="C628" s="9" t="s">
        <v>9</v>
      </c>
      <c r="D628" s="9" t="s">
        <v>114</v>
      </c>
      <c r="E628" s="9" t="s">
        <v>236</v>
      </c>
      <c r="F628" s="10">
        <v>151026.4</v>
      </c>
      <c r="G628" s="10">
        <v>28</v>
      </c>
      <c r="H628" s="11">
        <v>287</v>
      </c>
      <c r="I628" s="3"/>
    </row>
    <row r="629" spans="1:9" s="4" customFormat="1" x14ac:dyDescent="0.5">
      <c r="A629" s="8">
        <v>2021</v>
      </c>
      <c r="B629" s="9" t="s">
        <v>20</v>
      </c>
      <c r="C629" s="9" t="s">
        <v>9</v>
      </c>
      <c r="D629" s="9" t="s">
        <v>164</v>
      </c>
      <c r="E629" s="9" t="s">
        <v>236</v>
      </c>
      <c r="F629" s="10">
        <v>151026.4</v>
      </c>
      <c r="G629" s="10">
        <v>28</v>
      </c>
      <c r="H629" s="11">
        <v>287</v>
      </c>
      <c r="I629" s="3"/>
    </row>
    <row r="630" spans="1:9" s="4" customFormat="1" x14ac:dyDescent="0.5">
      <c r="A630" s="8">
        <v>2021</v>
      </c>
      <c r="B630" s="9" t="s">
        <v>20</v>
      </c>
      <c r="C630" s="9" t="s">
        <v>14</v>
      </c>
      <c r="D630" s="9" t="s">
        <v>102</v>
      </c>
      <c r="E630" s="9" t="s">
        <v>228</v>
      </c>
      <c r="F630" s="10">
        <v>164317.44</v>
      </c>
      <c r="G630" s="10">
        <v>299</v>
      </c>
      <c r="H630" s="11">
        <v>975</v>
      </c>
      <c r="I630" s="3"/>
    </row>
    <row r="631" spans="1:9" s="4" customFormat="1" x14ac:dyDescent="0.5">
      <c r="A631" s="8">
        <v>2021</v>
      </c>
      <c r="B631" s="9" t="s">
        <v>19</v>
      </c>
      <c r="C631" s="9" t="s">
        <v>17</v>
      </c>
      <c r="D631" s="9" t="s">
        <v>45</v>
      </c>
      <c r="E631" s="9" t="s">
        <v>232</v>
      </c>
      <c r="F631" s="10">
        <v>165638</v>
      </c>
      <c r="G631" s="10">
        <v>150</v>
      </c>
      <c r="H631" s="11">
        <v>413</v>
      </c>
      <c r="I631" s="3"/>
    </row>
    <row r="632" spans="1:9" s="4" customFormat="1" x14ac:dyDescent="0.5">
      <c r="A632" s="8">
        <v>2021</v>
      </c>
      <c r="B632" s="9" t="s">
        <v>23</v>
      </c>
      <c r="C632" s="9" t="s">
        <v>16</v>
      </c>
      <c r="D632" s="9" t="s">
        <v>154</v>
      </c>
      <c r="E632" s="9" t="s">
        <v>236</v>
      </c>
      <c r="F632" s="10">
        <v>166970.72</v>
      </c>
      <c r="G632" s="10">
        <v>98</v>
      </c>
      <c r="H632" s="11">
        <v>968</v>
      </c>
      <c r="I632" s="3"/>
    </row>
    <row r="633" spans="1:9" s="4" customFormat="1" x14ac:dyDescent="0.5">
      <c r="A633" s="8">
        <v>2021</v>
      </c>
      <c r="B633" s="9" t="s">
        <v>19</v>
      </c>
      <c r="C633" s="9" t="s">
        <v>16</v>
      </c>
      <c r="D633" s="9" t="s">
        <v>226</v>
      </c>
      <c r="E633" s="9" t="s">
        <v>235</v>
      </c>
      <c r="F633" s="10">
        <v>170051.84</v>
      </c>
      <c r="G633" s="10">
        <v>268</v>
      </c>
      <c r="H633" s="11">
        <v>118</v>
      </c>
      <c r="I633" s="3"/>
    </row>
    <row r="634" spans="1:9" s="4" customFormat="1" x14ac:dyDescent="0.5">
      <c r="A634" s="8">
        <v>2021</v>
      </c>
      <c r="B634" s="9" t="s">
        <v>27</v>
      </c>
      <c r="C634" s="9" t="s">
        <v>10</v>
      </c>
      <c r="D634" s="9" t="s">
        <v>92</v>
      </c>
      <c r="E634" s="9" t="s">
        <v>232</v>
      </c>
      <c r="F634" s="10">
        <v>170291.52</v>
      </c>
      <c r="G634" s="10">
        <v>871</v>
      </c>
      <c r="H634" s="11">
        <v>810</v>
      </c>
      <c r="I634" s="3"/>
    </row>
    <row r="635" spans="1:9" s="4" customFormat="1" x14ac:dyDescent="0.5">
      <c r="A635" s="8">
        <v>2021</v>
      </c>
      <c r="B635" s="9" t="s">
        <v>19</v>
      </c>
      <c r="C635" s="9" t="s">
        <v>17</v>
      </c>
      <c r="D635" s="9" t="s">
        <v>47</v>
      </c>
      <c r="E635" s="9" t="s">
        <v>230</v>
      </c>
      <c r="F635" s="10">
        <v>177635</v>
      </c>
      <c r="G635" s="10">
        <v>957</v>
      </c>
      <c r="H635" s="11">
        <v>210</v>
      </c>
      <c r="I635" s="3"/>
    </row>
    <row r="636" spans="1:9" s="4" customFormat="1" x14ac:dyDescent="0.5">
      <c r="A636" s="8">
        <v>2021</v>
      </c>
      <c r="B636" s="9" t="s">
        <v>24</v>
      </c>
      <c r="C636" s="9" t="s">
        <v>12</v>
      </c>
      <c r="D636" s="9" t="s">
        <v>214</v>
      </c>
      <c r="E636" s="9" t="s">
        <v>233</v>
      </c>
      <c r="F636" s="10">
        <v>181082.72</v>
      </c>
      <c r="G636" s="10">
        <v>869</v>
      </c>
      <c r="H636" s="11">
        <v>930</v>
      </c>
      <c r="I636" s="3"/>
    </row>
    <row r="637" spans="1:9" s="4" customFormat="1" x14ac:dyDescent="0.5">
      <c r="A637" s="8">
        <v>2021</v>
      </c>
      <c r="B637" s="9" t="s">
        <v>21</v>
      </c>
      <c r="C637" s="9" t="s">
        <v>14</v>
      </c>
      <c r="D637" s="9" t="s">
        <v>50</v>
      </c>
      <c r="E637" s="9" t="s">
        <v>232</v>
      </c>
      <c r="F637" s="10">
        <v>184155</v>
      </c>
      <c r="G637" s="10">
        <v>461</v>
      </c>
      <c r="H637" s="11">
        <v>615</v>
      </c>
      <c r="I637" s="3"/>
    </row>
    <row r="638" spans="1:9" s="4" customFormat="1" x14ac:dyDescent="0.5">
      <c r="A638" s="8">
        <v>2021</v>
      </c>
      <c r="B638" s="9" t="s">
        <v>21</v>
      </c>
      <c r="C638" s="9" t="s">
        <v>15</v>
      </c>
      <c r="D638" s="9" t="s">
        <v>56</v>
      </c>
      <c r="E638" s="9" t="s">
        <v>231</v>
      </c>
      <c r="F638" s="10">
        <v>185506.72</v>
      </c>
      <c r="G638" s="10">
        <v>166</v>
      </c>
      <c r="H638" s="11">
        <v>934</v>
      </c>
      <c r="I638" s="3"/>
    </row>
    <row r="639" spans="1:9" s="4" customFormat="1" x14ac:dyDescent="0.5">
      <c r="A639" s="8">
        <v>2021</v>
      </c>
      <c r="B639" s="9" t="s">
        <v>21</v>
      </c>
      <c r="C639" s="9" t="s">
        <v>9</v>
      </c>
      <c r="D639" s="9" t="s">
        <v>120</v>
      </c>
      <c r="E639" s="9" t="s">
        <v>234</v>
      </c>
      <c r="F639" s="10">
        <v>186455.36</v>
      </c>
      <c r="G639" s="10">
        <v>597</v>
      </c>
      <c r="H639" s="11">
        <v>287</v>
      </c>
      <c r="I639" s="3"/>
    </row>
    <row r="640" spans="1:9" s="4" customFormat="1" x14ac:dyDescent="0.5">
      <c r="A640" s="8">
        <v>2021</v>
      </c>
      <c r="B640" s="9" t="s">
        <v>26</v>
      </c>
      <c r="C640" s="9" t="s">
        <v>11</v>
      </c>
      <c r="D640" s="9" t="s">
        <v>43</v>
      </c>
      <c r="E640" s="9" t="s">
        <v>234</v>
      </c>
      <c r="F640" s="10">
        <v>186455.36</v>
      </c>
      <c r="G640" s="10">
        <v>60</v>
      </c>
      <c r="H640" s="11">
        <v>849</v>
      </c>
      <c r="I640" s="3"/>
    </row>
    <row r="641" spans="1:9" s="4" customFormat="1" x14ac:dyDescent="0.5">
      <c r="A641" s="8">
        <v>2021</v>
      </c>
      <c r="B641" s="9" t="s">
        <v>27</v>
      </c>
      <c r="C641" s="9" t="s">
        <v>11</v>
      </c>
      <c r="D641" s="9" t="s">
        <v>137</v>
      </c>
      <c r="E641" s="9" t="s">
        <v>234</v>
      </c>
      <c r="F641" s="10">
        <v>186455.36</v>
      </c>
      <c r="G641" s="10">
        <v>515</v>
      </c>
      <c r="H641" s="11">
        <v>210</v>
      </c>
      <c r="I641" s="3"/>
    </row>
    <row r="642" spans="1:9" s="4" customFormat="1" x14ac:dyDescent="0.5">
      <c r="A642" s="8">
        <v>2021</v>
      </c>
      <c r="B642" s="9" t="s">
        <v>27</v>
      </c>
      <c r="C642" s="9" t="s">
        <v>15</v>
      </c>
      <c r="D642" s="9" t="s">
        <v>175</v>
      </c>
      <c r="E642" s="9" t="s">
        <v>234</v>
      </c>
      <c r="F642" s="10">
        <v>186455.36</v>
      </c>
      <c r="G642" s="10">
        <v>734</v>
      </c>
      <c r="H642" s="11">
        <v>568</v>
      </c>
      <c r="I642" s="3"/>
    </row>
    <row r="643" spans="1:9" s="4" customFormat="1" x14ac:dyDescent="0.5">
      <c r="A643" s="8">
        <v>2021</v>
      </c>
      <c r="B643" s="9" t="s">
        <v>27</v>
      </c>
      <c r="C643" s="9" t="s">
        <v>14</v>
      </c>
      <c r="D643" s="9" t="s">
        <v>193</v>
      </c>
      <c r="E643" s="9" t="s">
        <v>234</v>
      </c>
      <c r="F643" s="10">
        <v>186455.36</v>
      </c>
      <c r="G643" s="10">
        <v>749</v>
      </c>
      <c r="H643" s="11">
        <v>648</v>
      </c>
      <c r="I643" s="3"/>
    </row>
    <row r="644" spans="1:9" s="4" customFormat="1" x14ac:dyDescent="0.5">
      <c r="A644" s="8">
        <v>2021</v>
      </c>
      <c r="B644" s="9" t="s">
        <v>27</v>
      </c>
      <c r="C644" s="9" t="s">
        <v>15</v>
      </c>
      <c r="D644" s="9" t="s">
        <v>111</v>
      </c>
      <c r="E644" s="9" t="s">
        <v>234</v>
      </c>
      <c r="F644" s="10">
        <v>186455.36</v>
      </c>
      <c r="G644" s="10">
        <v>734</v>
      </c>
      <c r="H644" s="11">
        <v>568</v>
      </c>
      <c r="I644" s="3"/>
    </row>
    <row r="645" spans="1:9" s="4" customFormat="1" x14ac:dyDescent="0.5">
      <c r="A645" s="8">
        <v>2021</v>
      </c>
      <c r="B645" s="9" t="s">
        <v>27</v>
      </c>
      <c r="C645" s="9" t="s">
        <v>17</v>
      </c>
      <c r="D645" s="9" t="s">
        <v>95</v>
      </c>
      <c r="E645" s="9" t="s">
        <v>234</v>
      </c>
      <c r="F645" s="10">
        <v>186455.36</v>
      </c>
      <c r="G645" s="10">
        <v>479</v>
      </c>
      <c r="H645" s="11">
        <v>934</v>
      </c>
      <c r="I645" s="3"/>
    </row>
    <row r="646" spans="1:9" s="4" customFormat="1" x14ac:dyDescent="0.5">
      <c r="A646" s="8">
        <v>2021</v>
      </c>
      <c r="B646" s="9" t="s">
        <v>27</v>
      </c>
      <c r="C646" s="9" t="s">
        <v>8</v>
      </c>
      <c r="D646" s="9" t="s">
        <v>182</v>
      </c>
      <c r="E646" s="9" t="s">
        <v>234</v>
      </c>
      <c r="F646" s="10">
        <v>186455.36</v>
      </c>
      <c r="G646" s="10">
        <v>774</v>
      </c>
      <c r="H646" s="11">
        <v>33</v>
      </c>
      <c r="I646" s="3"/>
    </row>
    <row r="647" spans="1:9" s="4" customFormat="1" x14ac:dyDescent="0.5">
      <c r="A647" s="8">
        <v>2021</v>
      </c>
      <c r="B647" s="9" t="s">
        <v>23</v>
      </c>
      <c r="C647" s="9" t="s">
        <v>15</v>
      </c>
      <c r="D647" s="9" t="s">
        <v>55</v>
      </c>
      <c r="E647" s="9" t="s">
        <v>231</v>
      </c>
      <c r="F647" s="10">
        <v>196146</v>
      </c>
      <c r="G647" s="10">
        <v>849</v>
      </c>
      <c r="H647" s="11">
        <v>156</v>
      </c>
      <c r="I647" s="3"/>
    </row>
    <row r="648" spans="1:9" s="4" customFormat="1" x14ac:dyDescent="0.5">
      <c r="A648" s="8">
        <v>2021</v>
      </c>
      <c r="B648" s="9" t="s">
        <v>27</v>
      </c>
      <c r="C648" s="9" t="s">
        <v>10</v>
      </c>
      <c r="D648" s="9" t="s">
        <v>44</v>
      </c>
      <c r="E648" s="9" t="s">
        <v>232</v>
      </c>
      <c r="F648" s="10">
        <v>198951.2</v>
      </c>
      <c r="G648" s="10">
        <v>871</v>
      </c>
      <c r="H648" s="11">
        <v>810</v>
      </c>
      <c r="I648" s="3"/>
    </row>
    <row r="649" spans="1:9" s="4" customFormat="1" x14ac:dyDescent="0.5">
      <c r="A649" s="8">
        <v>2021</v>
      </c>
      <c r="B649" s="9" t="s">
        <v>21</v>
      </c>
      <c r="C649" s="9" t="s">
        <v>13</v>
      </c>
      <c r="D649" s="9" t="s">
        <v>98</v>
      </c>
      <c r="E649" s="9" t="s">
        <v>232</v>
      </c>
      <c r="F649" s="10">
        <v>199691.51999999999</v>
      </c>
      <c r="G649" s="10">
        <v>61</v>
      </c>
      <c r="H649" s="11">
        <v>28</v>
      </c>
      <c r="I649" s="3"/>
    </row>
    <row r="650" spans="1:9" s="4" customFormat="1" x14ac:dyDescent="0.5">
      <c r="A650" s="8">
        <v>2021</v>
      </c>
      <c r="B650" s="9" t="s">
        <v>19</v>
      </c>
      <c r="C650" s="9" t="s">
        <v>17</v>
      </c>
      <c r="D650" s="9" t="s">
        <v>161</v>
      </c>
      <c r="E650" s="9" t="s">
        <v>229</v>
      </c>
      <c r="F650" s="10">
        <v>204794.23999999999</v>
      </c>
      <c r="G650" s="10">
        <v>957</v>
      </c>
      <c r="H650" s="11">
        <v>210</v>
      </c>
      <c r="I650" s="3"/>
    </row>
    <row r="651" spans="1:9" s="4" customFormat="1" x14ac:dyDescent="0.5">
      <c r="A651" s="8">
        <v>2021</v>
      </c>
      <c r="B651" s="9" t="s">
        <v>23</v>
      </c>
      <c r="C651" s="9" t="s">
        <v>9</v>
      </c>
      <c r="D651" s="9" t="s">
        <v>39</v>
      </c>
      <c r="E651" s="9" t="s">
        <v>235</v>
      </c>
      <c r="F651" s="10">
        <v>206253.6</v>
      </c>
      <c r="G651" s="10">
        <v>351</v>
      </c>
      <c r="H651" s="11">
        <v>918</v>
      </c>
      <c r="I651" s="3"/>
    </row>
    <row r="652" spans="1:9" s="4" customFormat="1" x14ac:dyDescent="0.5">
      <c r="A652" s="8">
        <v>2021</v>
      </c>
      <c r="B652" s="9" t="s">
        <v>22</v>
      </c>
      <c r="C652" s="9" t="s">
        <v>9</v>
      </c>
      <c r="D652" s="9" t="s">
        <v>42</v>
      </c>
      <c r="E652" s="9" t="s">
        <v>233</v>
      </c>
      <c r="F652" s="10">
        <v>209059.20000000001</v>
      </c>
      <c r="G652" s="10">
        <v>573</v>
      </c>
      <c r="H652" s="11">
        <v>784</v>
      </c>
      <c r="I652" s="3"/>
    </row>
    <row r="653" spans="1:9" s="4" customFormat="1" x14ac:dyDescent="0.5">
      <c r="A653" s="8">
        <v>2021</v>
      </c>
      <c r="B653" s="9" t="s">
        <v>24</v>
      </c>
      <c r="C653" s="9" t="s">
        <v>12</v>
      </c>
      <c r="D653" s="9" t="s">
        <v>210</v>
      </c>
      <c r="E653" s="9" t="s">
        <v>233</v>
      </c>
      <c r="F653" s="10">
        <v>209059.20000000001</v>
      </c>
      <c r="G653" s="10">
        <v>869</v>
      </c>
      <c r="H653" s="11">
        <v>930</v>
      </c>
      <c r="I653" s="3"/>
    </row>
    <row r="654" spans="1:9" s="4" customFormat="1" x14ac:dyDescent="0.5">
      <c r="A654" s="8">
        <v>2021</v>
      </c>
      <c r="B654" s="9" t="s">
        <v>27</v>
      </c>
      <c r="C654" s="9" t="s">
        <v>9</v>
      </c>
      <c r="D654" s="9" t="s">
        <v>205</v>
      </c>
      <c r="E654" s="9" t="s">
        <v>233</v>
      </c>
      <c r="F654" s="10">
        <v>209059.20000000001</v>
      </c>
      <c r="G654" s="10">
        <v>810</v>
      </c>
      <c r="H654" s="11">
        <v>657</v>
      </c>
      <c r="I654" s="3"/>
    </row>
    <row r="655" spans="1:9" s="4" customFormat="1" x14ac:dyDescent="0.5">
      <c r="A655" s="8">
        <v>2021</v>
      </c>
      <c r="B655" s="9" t="s">
        <v>25</v>
      </c>
      <c r="C655" s="9" t="s">
        <v>8</v>
      </c>
      <c r="D655" s="9" t="s">
        <v>184</v>
      </c>
      <c r="E655" s="9" t="s">
        <v>234</v>
      </c>
      <c r="F655" s="10">
        <v>209059.20000000001</v>
      </c>
      <c r="G655" s="10">
        <v>616</v>
      </c>
      <c r="H655" s="11">
        <v>398</v>
      </c>
      <c r="I655" s="3"/>
    </row>
    <row r="656" spans="1:9" s="4" customFormat="1" x14ac:dyDescent="0.5">
      <c r="A656" s="8">
        <v>2021</v>
      </c>
      <c r="B656" s="9" t="s">
        <v>25</v>
      </c>
      <c r="C656" s="9" t="s">
        <v>8</v>
      </c>
      <c r="D656" s="9" t="s">
        <v>217</v>
      </c>
      <c r="E656" s="9" t="s">
        <v>234</v>
      </c>
      <c r="F656" s="10">
        <v>209059.20000000001</v>
      </c>
      <c r="G656" s="10">
        <v>616</v>
      </c>
      <c r="H656" s="11">
        <v>398</v>
      </c>
      <c r="I656" s="3"/>
    </row>
    <row r="657" spans="1:9" s="4" customFormat="1" x14ac:dyDescent="0.5">
      <c r="A657" s="8">
        <v>2021</v>
      </c>
      <c r="B657" s="9" t="s">
        <v>24</v>
      </c>
      <c r="C657" s="9" t="s">
        <v>13</v>
      </c>
      <c r="D657" s="9" t="s">
        <v>106</v>
      </c>
      <c r="E657" s="9" t="s">
        <v>234</v>
      </c>
      <c r="F657" s="10">
        <v>209059.20000000001</v>
      </c>
      <c r="G657" s="10">
        <v>591</v>
      </c>
      <c r="H657" s="11">
        <v>810</v>
      </c>
      <c r="I657" s="3"/>
    </row>
    <row r="658" spans="1:9" s="4" customFormat="1" x14ac:dyDescent="0.5">
      <c r="A658" s="8">
        <v>2021</v>
      </c>
      <c r="B658" s="9" t="s">
        <v>27</v>
      </c>
      <c r="C658" s="9" t="s">
        <v>9</v>
      </c>
      <c r="D658" s="9" t="s">
        <v>176</v>
      </c>
      <c r="E658" s="9" t="s">
        <v>232</v>
      </c>
      <c r="F658" s="10">
        <v>209059.20000000001</v>
      </c>
      <c r="G658" s="10">
        <v>810</v>
      </c>
      <c r="H658" s="11">
        <v>657</v>
      </c>
      <c r="I658" s="3"/>
    </row>
    <row r="659" spans="1:9" s="4" customFormat="1" x14ac:dyDescent="0.5">
      <c r="A659" s="8">
        <v>2021</v>
      </c>
      <c r="B659" s="9" t="s">
        <v>21</v>
      </c>
      <c r="C659" s="9" t="s">
        <v>16</v>
      </c>
      <c r="D659" s="9" t="s">
        <v>41</v>
      </c>
      <c r="E659" s="9" t="s">
        <v>232</v>
      </c>
      <c r="F659" s="10">
        <v>209059.20000000001</v>
      </c>
      <c r="G659" s="10">
        <v>537</v>
      </c>
      <c r="H659" s="11">
        <v>970</v>
      </c>
      <c r="I659" s="3"/>
    </row>
    <row r="660" spans="1:9" s="4" customFormat="1" x14ac:dyDescent="0.5">
      <c r="A660" s="8">
        <v>2021</v>
      </c>
      <c r="B660" s="9" t="s">
        <v>19</v>
      </c>
      <c r="C660" s="9" t="s">
        <v>16</v>
      </c>
      <c r="D660" s="9" t="s">
        <v>188</v>
      </c>
      <c r="E660" s="9" t="s">
        <v>229</v>
      </c>
      <c r="F660" s="10">
        <v>209059.20000000001</v>
      </c>
      <c r="G660" s="10">
        <v>268</v>
      </c>
      <c r="H660" s="11">
        <v>118</v>
      </c>
      <c r="I660" s="3"/>
    </row>
    <row r="661" spans="1:9" s="4" customFormat="1" x14ac:dyDescent="0.5">
      <c r="A661" s="8">
        <v>2021</v>
      </c>
      <c r="B661" s="9" t="s">
        <v>26</v>
      </c>
      <c r="C661" s="9" t="s">
        <v>11</v>
      </c>
      <c r="D661" s="9" t="s">
        <v>67</v>
      </c>
      <c r="E661" s="9" t="s">
        <v>229</v>
      </c>
      <c r="F661" s="10">
        <v>209059.20000000001</v>
      </c>
      <c r="G661" s="10">
        <v>60</v>
      </c>
      <c r="H661" s="11">
        <v>849</v>
      </c>
      <c r="I661" s="3"/>
    </row>
    <row r="662" spans="1:9" s="4" customFormat="1" x14ac:dyDescent="0.5">
      <c r="A662" s="8">
        <v>2021</v>
      </c>
      <c r="B662" s="9" t="s">
        <v>19</v>
      </c>
      <c r="C662" s="9" t="s">
        <v>17</v>
      </c>
      <c r="D662" s="9" t="s">
        <v>36</v>
      </c>
      <c r="E662" s="9" t="s">
        <v>229</v>
      </c>
      <c r="F662" s="10">
        <v>209059.20000000001</v>
      </c>
      <c r="G662" s="10">
        <v>150</v>
      </c>
      <c r="H662" s="11">
        <v>413</v>
      </c>
      <c r="I662" s="3"/>
    </row>
    <row r="663" spans="1:9" s="4" customFormat="1" x14ac:dyDescent="0.5">
      <c r="A663" s="8">
        <v>2021</v>
      </c>
      <c r="B663" s="9" t="s">
        <v>22</v>
      </c>
      <c r="C663" s="9" t="s">
        <v>14</v>
      </c>
      <c r="D663" s="9" t="s">
        <v>57</v>
      </c>
      <c r="E663" s="9" t="s">
        <v>235</v>
      </c>
      <c r="F663" s="10">
        <v>209059.20000000001</v>
      </c>
      <c r="G663" s="10">
        <v>843</v>
      </c>
      <c r="H663" s="11">
        <v>839</v>
      </c>
      <c r="I663" s="3"/>
    </row>
    <row r="664" spans="1:9" s="4" customFormat="1" x14ac:dyDescent="0.5">
      <c r="A664" s="8">
        <v>2021</v>
      </c>
      <c r="B664" s="9" t="s">
        <v>26</v>
      </c>
      <c r="C664" s="9" t="s">
        <v>12</v>
      </c>
      <c r="D664" s="9" t="s">
        <v>179</v>
      </c>
      <c r="E664" s="9" t="s">
        <v>231</v>
      </c>
      <c r="F664" s="10">
        <v>209059.20000000001</v>
      </c>
      <c r="G664" s="10">
        <v>929</v>
      </c>
      <c r="H664" s="11">
        <v>590</v>
      </c>
      <c r="I664" s="3"/>
    </row>
    <row r="665" spans="1:9" s="4" customFormat="1" x14ac:dyDescent="0.5">
      <c r="A665" s="8">
        <v>2021</v>
      </c>
      <c r="B665" s="9" t="s">
        <v>20</v>
      </c>
      <c r="C665" s="9" t="s">
        <v>15</v>
      </c>
      <c r="D665" s="9" t="s">
        <v>33</v>
      </c>
      <c r="E665" s="9" t="s">
        <v>231</v>
      </c>
      <c r="F665" s="10">
        <v>209059.20000000001</v>
      </c>
      <c r="G665" s="10">
        <v>389</v>
      </c>
      <c r="H665" s="11">
        <v>930</v>
      </c>
      <c r="I665" s="3"/>
    </row>
    <row r="666" spans="1:9" s="4" customFormat="1" x14ac:dyDescent="0.5">
      <c r="A666" s="8">
        <v>2021</v>
      </c>
      <c r="B666" s="9" t="s">
        <v>18</v>
      </c>
      <c r="C666" s="9" t="s">
        <v>8</v>
      </c>
      <c r="D666" s="9" t="s">
        <v>76</v>
      </c>
      <c r="E666" s="9" t="s">
        <v>231</v>
      </c>
      <c r="F666" s="10">
        <v>209059.20000000001</v>
      </c>
      <c r="G666" s="10">
        <v>256</v>
      </c>
      <c r="H666" s="11">
        <v>839</v>
      </c>
      <c r="I666" s="3"/>
    </row>
    <row r="667" spans="1:9" s="4" customFormat="1" x14ac:dyDescent="0.5">
      <c r="A667" s="8">
        <v>2021</v>
      </c>
      <c r="B667" s="9" t="s">
        <v>25</v>
      </c>
      <c r="C667" s="9" t="s">
        <v>13</v>
      </c>
      <c r="D667" s="9" t="s">
        <v>35</v>
      </c>
      <c r="E667" s="9" t="s">
        <v>228</v>
      </c>
      <c r="F667" s="10">
        <v>209059.20000000001</v>
      </c>
      <c r="G667" s="10">
        <v>739</v>
      </c>
      <c r="H667" s="11">
        <v>105</v>
      </c>
      <c r="I667" s="3"/>
    </row>
    <row r="668" spans="1:9" s="4" customFormat="1" x14ac:dyDescent="0.5">
      <c r="A668" s="8">
        <v>2021</v>
      </c>
      <c r="B668" s="9" t="s">
        <v>21</v>
      </c>
      <c r="C668" s="9" t="s">
        <v>10</v>
      </c>
      <c r="D668" s="9" t="s">
        <v>87</v>
      </c>
      <c r="E668" s="9" t="s">
        <v>228</v>
      </c>
      <c r="F668" s="10">
        <v>209059.20000000001</v>
      </c>
      <c r="G668" s="10">
        <v>975</v>
      </c>
      <c r="H668" s="11">
        <v>282</v>
      </c>
      <c r="I668" s="3"/>
    </row>
    <row r="669" spans="1:9" s="4" customFormat="1" x14ac:dyDescent="0.5">
      <c r="A669" s="8">
        <v>2021</v>
      </c>
      <c r="B669" s="9" t="s">
        <v>21</v>
      </c>
      <c r="C669" s="9" t="s">
        <v>9</v>
      </c>
      <c r="D669" s="9" t="s">
        <v>48</v>
      </c>
      <c r="E669" s="9" t="s">
        <v>228</v>
      </c>
      <c r="F669" s="10">
        <v>209059.20000000001</v>
      </c>
      <c r="G669" s="10">
        <v>86</v>
      </c>
      <c r="H669" s="11">
        <v>232</v>
      </c>
      <c r="I669" s="3"/>
    </row>
    <row r="670" spans="1:9" s="4" customFormat="1" x14ac:dyDescent="0.5">
      <c r="A670" s="8">
        <v>2021</v>
      </c>
      <c r="B670" s="9" t="s">
        <v>20</v>
      </c>
      <c r="C670" s="9" t="s">
        <v>8</v>
      </c>
      <c r="D670" s="9" t="s">
        <v>224</v>
      </c>
      <c r="E670" s="9" t="s">
        <v>228</v>
      </c>
      <c r="F670" s="10">
        <v>209059.20000000001</v>
      </c>
      <c r="G670" s="10">
        <v>386</v>
      </c>
      <c r="H670" s="11">
        <v>287</v>
      </c>
      <c r="I670" s="3"/>
    </row>
    <row r="671" spans="1:9" s="4" customFormat="1" x14ac:dyDescent="0.5">
      <c r="A671" s="8">
        <v>2021</v>
      </c>
      <c r="B671" s="9" t="s">
        <v>24</v>
      </c>
      <c r="C671" s="9" t="s">
        <v>13</v>
      </c>
      <c r="D671" s="9" t="s">
        <v>59</v>
      </c>
      <c r="E671" s="9" t="s">
        <v>235</v>
      </c>
      <c r="F671" s="10">
        <v>213353</v>
      </c>
      <c r="G671" s="10">
        <v>591</v>
      </c>
      <c r="H671" s="11">
        <v>810</v>
      </c>
      <c r="I671" s="3"/>
    </row>
    <row r="672" spans="1:9" s="4" customFormat="1" x14ac:dyDescent="0.5">
      <c r="A672" s="8">
        <v>2021</v>
      </c>
      <c r="B672" s="9" t="s">
        <v>25</v>
      </c>
      <c r="C672" s="9" t="s">
        <v>11</v>
      </c>
      <c r="D672" s="9" t="s">
        <v>30</v>
      </c>
      <c r="E672" s="9" t="s">
        <v>234</v>
      </c>
      <c r="F672" s="10">
        <v>219683.52</v>
      </c>
      <c r="G672" s="10">
        <v>515</v>
      </c>
      <c r="H672" s="11">
        <v>210</v>
      </c>
      <c r="I672" s="3"/>
    </row>
    <row r="673" spans="1:9" s="4" customFormat="1" x14ac:dyDescent="0.5">
      <c r="A673" s="8">
        <v>2021</v>
      </c>
      <c r="B673" s="9" t="s">
        <v>20</v>
      </c>
      <c r="C673" s="9" t="s">
        <v>14</v>
      </c>
      <c r="D673" s="9" t="s">
        <v>61</v>
      </c>
      <c r="E673" s="9" t="s">
        <v>231</v>
      </c>
      <c r="F673" s="10">
        <v>223444</v>
      </c>
      <c r="G673" s="10">
        <v>299</v>
      </c>
      <c r="H673" s="11">
        <v>975</v>
      </c>
      <c r="I673" s="3"/>
    </row>
    <row r="674" spans="1:9" s="4" customFormat="1" x14ac:dyDescent="0.5">
      <c r="A674" s="8">
        <v>2021</v>
      </c>
      <c r="B674" s="9" t="s">
        <v>26</v>
      </c>
      <c r="C674" s="9" t="s">
        <v>11</v>
      </c>
      <c r="D674" s="9" t="s">
        <v>29</v>
      </c>
      <c r="E674" s="9" t="s">
        <v>234</v>
      </c>
      <c r="F674" s="10">
        <v>225676.64</v>
      </c>
      <c r="G674" s="10">
        <v>60</v>
      </c>
      <c r="H674" s="11">
        <v>849</v>
      </c>
      <c r="I674" s="3"/>
    </row>
    <row r="675" spans="1:9" s="4" customFormat="1" x14ac:dyDescent="0.5">
      <c r="A675" s="8">
        <v>2021</v>
      </c>
      <c r="B675" s="9" t="s">
        <v>25</v>
      </c>
      <c r="C675" s="9" t="s">
        <v>15</v>
      </c>
      <c r="D675" s="9" t="s">
        <v>216</v>
      </c>
      <c r="E675" s="9" t="s">
        <v>232</v>
      </c>
      <c r="F675" s="10">
        <v>230400.8</v>
      </c>
      <c r="G675" s="10">
        <v>156</v>
      </c>
      <c r="H675" s="11">
        <v>54</v>
      </c>
      <c r="I675" s="3"/>
    </row>
    <row r="676" spans="1:9" s="4" customFormat="1" x14ac:dyDescent="0.5">
      <c r="A676" s="8">
        <v>2021</v>
      </c>
      <c r="B676" s="9" t="s">
        <v>24</v>
      </c>
      <c r="C676" s="9" t="s">
        <v>15</v>
      </c>
      <c r="D676" s="9" t="s">
        <v>177</v>
      </c>
      <c r="E676" s="9" t="s">
        <v>229</v>
      </c>
      <c r="F676" s="10">
        <v>234766.56</v>
      </c>
      <c r="G676" s="10">
        <v>873</v>
      </c>
      <c r="H676" s="11">
        <v>287</v>
      </c>
      <c r="I676" s="3"/>
    </row>
    <row r="677" spans="1:9" s="4" customFormat="1" x14ac:dyDescent="0.5">
      <c r="A677" s="8">
        <v>2021</v>
      </c>
      <c r="B677" s="9" t="s">
        <v>25</v>
      </c>
      <c r="C677" s="9" t="s">
        <v>15</v>
      </c>
      <c r="D677" s="9" t="s">
        <v>63</v>
      </c>
      <c r="E677" s="9" t="s">
        <v>231</v>
      </c>
      <c r="F677" s="10">
        <v>235018</v>
      </c>
      <c r="G677" s="10">
        <v>610</v>
      </c>
      <c r="H677" s="11">
        <v>851</v>
      </c>
      <c r="I677" s="3"/>
    </row>
    <row r="678" spans="1:9" s="4" customFormat="1" x14ac:dyDescent="0.5">
      <c r="A678" s="8">
        <v>2021</v>
      </c>
      <c r="B678" s="9" t="s">
        <v>25</v>
      </c>
      <c r="C678" s="9" t="s">
        <v>9</v>
      </c>
      <c r="D678" s="9" t="s">
        <v>189</v>
      </c>
      <c r="E678" s="9" t="s">
        <v>231</v>
      </c>
      <c r="F678" s="10">
        <v>244617.408</v>
      </c>
      <c r="G678" s="10">
        <v>601</v>
      </c>
      <c r="H678" s="11">
        <v>413</v>
      </c>
      <c r="I678" s="3"/>
    </row>
    <row r="679" spans="1:9" s="4" customFormat="1" x14ac:dyDescent="0.5">
      <c r="A679" s="8">
        <v>2021</v>
      </c>
      <c r="B679" s="9" t="s">
        <v>25</v>
      </c>
      <c r="C679" s="9" t="s">
        <v>15</v>
      </c>
      <c r="D679" s="9" t="s">
        <v>138</v>
      </c>
      <c r="E679" s="9" t="s">
        <v>232</v>
      </c>
      <c r="F679" s="10">
        <v>249211.2</v>
      </c>
      <c r="G679" s="10">
        <v>156</v>
      </c>
      <c r="H679" s="11">
        <v>54</v>
      </c>
      <c r="I679" s="3"/>
    </row>
    <row r="680" spans="1:9" s="4" customFormat="1" x14ac:dyDescent="0.5">
      <c r="A680" s="8">
        <v>2021</v>
      </c>
      <c r="B680" s="9" t="s">
        <v>27</v>
      </c>
      <c r="C680" s="9" t="s">
        <v>9</v>
      </c>
      <c r="D680" s="9" t="s">
        <v>49</v>
      </c>
      <c r="E680" s="9" t="s">
        <v>229</v>
      </c>
      <c r="F680" s="10">
        <v>250257.28</v>
      </c>
      <c r="G680" s="10">
        <v>962</v>
      </c>
      <c r="H680" s="11">
        <v>28</v>
      </c>
      <c r="I680" s="3"/>
    </row>
    <row r="681" spans="1:9" s="4" customFormat="1" x14ac:dyDescent="0.5">
      <c r="A681" s="8">
        <v>2021</v>
      </c>
      <c r="B681" s="9" t="s">
        <v>23</v>
      </c>
      <c r="C681" s="9" t="s">
        <v>9</v>
      </c>
      <c r="D681" s="9" t="s">
        <v>197</v>
      </c>
      <c r="E681" s="9" t="s">
        <v>235</v>
      </c>
      <c r="F681" s="10">
        <v>255250.24</v>
      </c>
      <c r="G681" s="10">
        <v>351</v>
      </c>
      <c r="H681" s="11">
        <v>918</v>
      </c>
      <c r="I681" s="3"/>
    </row>
    <row r="682" spans="1:9" s="4" customFormat="1" x14ac:dyDescent="0.5">
      <c r="A682" s="8">
        <v>2021</v>
      </c>
      <c r="B682" s="9" t="s">
        <v>27</v>
      </c>
      <c r="C682" s="9" t="s">
        <v>8</v>
      </c>
      <c r="D682" s="9" t="s">
        <v>73</v>
      </c>
      <c r="E682" s="9" t="s">
        <v>233</v>
      </c>
      <c r="F682" s="10">
        <v>273798</v>
      </c>
      <c r="G682" s="10">
        <v>342</v>
      </c>
      <c r="H682" s="11">
        <v>968</v>
      </c>
      <c r="I682" s="3"/>
    </row>
    <row r="683" spans="1:9" s="4" customFormat="1" x14ac:dyDescent="0.5">
      <c r="A683" s="8">
        <v>2021</v>
      </c>
      <c r="B683" s="9" t="s">
        <v>27</v>
      </c>
      <c r="C683" s="9" t="s">
        <v>15</v>
      </c>
      <c r="D683" s="9" t="s">
        <v>34</v>
      </c>
      <c r="E683" s="9" t="s">
        <v>234</v>
      </c>
      <c r="F683" s="10">
        <v>275480.8</v>
      </c>
      <c r="G683" s="10">
        <v>734</v>
      </c>
      <c r="H683" s="11">
        <v>568</v>
      </c>
      <c r="I683" s="3"/>
    </row>
    <row r="684" spans="1:9" s="4" customFormat="1" x14ac:dyDescent="0.5">
      <c r="A684" s="8">
        <v>2021</v>
      </c>
      <c r="B684" s="9" t="s">
        <v>20</v>
      </c>
      <c r="C684" s="9" t="s">
        <v>15</v>
      </c>
      <c r="D684" s="9" t="s">
        <v>160</v>
      </c>
      <c r="E684" s="9" t="s">
        <v>236</v>
      </c>
      <c r="F684" s="10">
        <v>295234.24</v>
      </c>
      <c r="G684" s="10">
        <v>389</v>
      </c>
      <c r="H684" s="11">
        <v>930</v>
      </c>
      <c r="I684" s="3"/>
    </row>
    <row r="685" spans="1:9" s="4" customFormat="1" x14ac:dyDescent="0.5">
      <c r="A685" s="8">
        <v>2021</v>
      </c>
      <c r="B685" s="9" t="s">
        <v>19</v>
      </c>
      <c r="C685" s="9" t="s">
        <v>15</v>
      </c>
      <c r="D685" s="9" t="s">
        <v>75</v>
      </c>
      <c r="E685" s="9" t="s">
        <v>229</v>
      </c>
      <c r="F685" s="10">
        <v>304344</v>
      </c>
      <c r="G685" s="10">
        <v>1000</v>
      </c>
      <c r="H685" s="11">
        <v>597</v>
      </c>
      <c r="I685" s="3"/>
    </row>
    <row r="686" spans="1:9" s="4" customFormat="1" x14ac:dyDescent="0.5">
      <c r="A686" s="8">
        <v>2021</v>
      </c>
      <c r="B686" s="9" t="s">
        <v>21</v>
      </c>
      <c r="C686" s="9" t="s">
        <v>16</v>
      </c>
      <c r="D686" s="9" t="s">
        <v>129</v>
      </c>
      <c r="E686" s="9" t="s">
        <v>228</v>
      </c>
      <c r="F686" s="10">
        <v>304622.08000000002</v>
      </c>
      <c r="G686" s="10">
        <v>537</v>
      </c>
      <c r="H686" s="11">
        <v>970</v>
      </c>
      <c r="I686" s="3"/>
    </row>
    <row r="687" spans="1:9" s="4" customFormat="1" x14ac:dyDescent="0.5">
      <c r="A687" s="8">
        <v>2021</v>
      </c>
      <c r="B687" s="9" t="s">
        <v>26</v>
      </c>
      <c r="C687" s="9" t="s">
        <v>12</v>
      </c>
      <c r="D687" s="9" t="s">
        <v>125</v>
      </c>
      <c r="E687" s="9" t="s">
        <v>233</v>
      </c>
      <c r="F687" s="10">
        <v>306653.76</v>
      </c>
      <c r="G687" s="10">
        <v>929</v>
      </c>
      <c r="H687" s="11">
        <v>590</v>
      </c>
      <c r="I687" s="3"/>
    </row>
    <row r="688" spans="1:9" s="4" customFormat="1" x14ac:dyDescent="0.5">
      <c r="A688" s="8">
        <v>2021</v>
      </c>
      <c r="B688" s="9" t="s">
        <v>25</v>
      </c>
      <c r="C688" s="9" t="s">
        <v>15</v>
      </c>
      <c r="D688" s="9" t="s">
        <v>82</v>
      </c>
      <c r="E688" s="9" t="s">
        <v>231</v>
      </c>
      <c r="F688" s="10">
        <v>343524.16</v>
      </c>
      <c r="G688" s="10">
        <v>610</v>
      </c>
      <c r="H688" s="11">
        <v>851</v>
      </c>
      <c r="I688" s="3"/>
    </row>
    <row r="689" spans="1:9" s="4" customFormat="1" x14ac:dyDescent="0.5">
      <c r="A689" s="8">
        <v>2021</v>
      </c>
      <c r="B689" s="9" t="s">
        <v>18</v>
      </c>
      <c r="C689" s="9" t="s">
        <v>15</v>
      </c>
      <c r="D689" s="9" t="s">
        <v>84</v>
      </c>
      <c r="E689" s="9" t="s">
        <v>232</v>
      </c>
      <c r="F689" s="10">
        <v>347068</v>
      </c>
      <c r="G689" s="10">
        <v>137</v>
      </c>
      <c r="H689" s="11">
        <v>784</v>
      </c>
      <c r="I689" s="3"/>
    </row>
    <row r="690" spans="1:9" s="4" customFormat="1" x14ac:dyDescent="0.5">
      <c r="A690" s="8">
        <v>2021</v>
      </c>
      <c r="B690" s="9" t="s">
        <v>21</v>
      </c>
      <c r="C690" s="9" t="s">
        <v>14</v>
      </c>
      <c r="D690" s="9" t="s">
        <v>168</v>
      </c>
      <c r="E690" s="9" t="s">
        <v>232</v>
      </c>
      <c r="F690" s="10">
        <v>349305.59999999998</v>
      </c>
      <c r="G690" s="10">
        <v>461</v>
      </c>
      <c r="H690" s="11">
        <v>615</v>
      </c>
      <c r="I690" s="3"/>
    </row>
    <row r="691" spans="1:9" s="4" customFormat="1" x14ac:dyDescent="0.5">
      <c r="A691" s="8">
        <v>2021</v>
      </c>
      <c r="B691" s="9" t="s">
        <v>18</v>
      </c>
      <c r="C691" s="9" t="s">
        <v>10</v>
      </c>
      <c r="D691" s="9" t="s">
        <v>46</v>
      </c>
      <c r="E691" s="9" t="s">
        <v>232</v>
      </c>
      <c r="F691" s="10">
        <v>352427.04</v>
      </c>
      <c r="G691" s="10">
        <v>615</v>
      </c>
      <c r="H691" s="11">
        <v>851</v>
      </c>
      <c r="I691" s="3"/>
    </row>
    <row r="692" spans="1:9" s="4" customFormat="1" x14ac:dyDescent="0.5">
      <c r="A692" s="8">
        <v>2021</v>
      </c>
      <c r="B692" s="9" t="s">
        <v>20</v>
      </c>
      <c r="C692" s="9" t="s">
        <v>8</v>
      </c>
      <c r="D692" s="9" t="s">
        <v>37</v>
      </c>
      <c r="E692" s="9" t="s">
        <v>231</v>
      </c>
      <c r="F692" s="10">
        <v>356908.16</v>
      </c>
      <c r="G692" s="10">
        <v>774</v>
      </c>
      <c r="H692" s="11">
        <v>33</v>
      </c>
      <c r="I692" s="3"/>
    </row>
    <row r="693" spans="1:9" s="4" customFormat="1" x14ac:dyDescent="0.5">
      <c r="A693" s="8">
        <v>2021</v>
      </c>
      <c r="B693" s="9" t="s">
        <v>19</v>
      </c>
      <c r="C693" s="9" t="s">
        <v>17</v>
      </c>
      <c r="D693" s="9" t="s">
        <v>60</v>
      </c>
      <c r="E693" s="9" t="s">
        <v>233</v>
      </c>
      <c r="F693" s="10">
        <v>367728.48</v>
      </c>
      <c r="G693" s="10">
        <v>957</v>
      </c>
      <c r="H693" s="11">
        <v>210</v>
      </c>
      <c r="I693" s="3"/>
    </row>
    <row r="694" spans="1:9" s="4" customFormat="1" x14ac:dyDescent="0.5">
      <c r="A694" s="8">
        <v>2021</v>
      </c>
      <c r="B694" s="9" t="s">
        <v>25</v>
      </c>
      <c r="C694" s="9" t="s">
        <v>17</v>
      </c>
      <c r="D694" s="9" t="s">
        <v>195</v>
      </c>
      <c r="E694" s="9" t="s">
        <v>236</v>
      </c>
      <c r="F694" s="10">
        <v>376527</v>
      </c>
      <c r="G694" s="10">
        <v>934</v>
      </c>
      <c r="H694" s="11">
        <v>75</v>
      </c>
      <c r="I694" s="3"/>
    </row>
    <row r="695" spans="1:9" s="4" customFormat="1" x14ac:dyDescent="0.5">
      <c r="A695" s="8">
        <v>2021</v>
      </c>
      <c r="B695" s="9" t="s">
        <v>27</v>
      </c>
      <c r="C695" s="9" t="s">
        <v>10</v>
      </c>
      <c r="D695" s="9" t="s">
        <v>143</v>
      </c>
      <c r="E695" s="9" t="s">
        <v>232</v>
      </c>
      <c r="F695" s="10">
        <v>388716.16</v>
      </c>
      <c r="G695" s="10">
        <v>871</v>
      </c>
      <c r="H695" s="11">
        <v>810</v>
      </c>
      <c r="I695" s="3"/>
    </row>
    <row r="696" spans="1:9" s="4" customFormat="1" x14ac:dyDescent="0.5">
      <c r="A696" s="8">
        <v>2021</v>
      </c>
      <c r="B696" s="9" t="s">
        <v>18</v>
      </c>
      <c r="C696" s="9" t="s">
        <v>15</v>
      </c>
      <c r="D696" s="9" t="s">
        <v>65</v>
      </c>
      <c r="E696" s="9" t="s">
        <v>229</v>
      </c>
      <c r="F696" s="10">
        <v>390192.32</v>
      </c>
      <c r="G696" s="10">
        <v>137</v>
      </c>
      <c r="H696" s="11">
        <v>784</v>
      </c>
      <c r="I696" s="3"/>
    </row>
    <row r="697" spans="1:9" s="4" customFormat="1" x14ac:dyDescent="0.5">
      <c r="A697" s="8">
        <v>2021</v>
      </c>
      <c r="B697" s="9" t="s">
        <v>26</v>
      </c>
      <c r="C697" s="9" t="s">
        <v>11</v>
      </c>
      <c r="D697" s="9" t="s">
        <v>151</v>
      </c>
      <c r="E697" s="9" t="s">
        <v>234</v>
      </c>
      <c r="F697" s="10">
        <v>396397.12</v>
      </c>
      <c r="G697" s="10">
        <v>60</v>
      </c>
      <c r="H697" s="11">
        <v>849</v>
      </c>
      <c r="I697" s="3"/>
    </row>
    <row r="698" spans="1:9" s="4" customFormat="1" x14ac:dyDescent="0.5">
      <c r="A698" s="8">
        <v>2021</v>
      </c>
      <c r="B698" s="9" t="s">
        <v>21</v>
      </c>
      <c r="C698" s="9" t="s">
        <v>9</v>
      </c>
      <c r="D698" s="9" t="s">
        <v>148</v>
      </c>
      <c r="E698" s="9" t="s">
        <v>234</v>
      </c>
      <c r="F698" s="10">
        <v>396397.12</v>
      </c>
      <c r="G698" s="10">
        <v>597</v>
      </c>
      <c r="H698" s="11">
        <v>287</v>
      </c>
      <c r="I698" s="3"/>
    </row>
    <row r="699" spans="1:9" s="4" customFormat="1" x14ac:dyDescent="0.5">
      <c r="A699" s="8">
        <v>2021</v>
      </c>
      <c r="B699" s="9" t="s">
        <v>21</v>
      </c>
      <c r="C699" s="9" t="s">
        <v>13</v>
      </c>
      <c r="D699" s="9" t="s">
        <v>142</v>
      </c>
      <c r="E699" s="9" t="s">
        <v>232</v>
      </c>
      <c r="F699" s="10">
        <v>396397.12</v>
      </c>
      <c r="G699" s="10">
        <v>61</v>
      </c>
      <c r="H699" s="11">
        <v>28</v>
      </c>
      <c r="I699" s="3"/>
    </row>
    <row r="700" spans="1:9" s="4" customFormat="1" x14ac:dyDescent="0.5">
      <c r="A700" s="8">
        <v>2021</v>
      </c>
      <c r="B700" s="9" t="s">
        <v>26</v>
      </c>
      <c r="C700" s="9" t="s">
        <v>14</v>
      </c>
      <c r="D700" s="9" t="s">
        <v>158</v>
      </c>
      <c r="E700" s="9" t="s">
        <v>234</v>
      </c>
      <c r="F700" s="10">
        <v>405587.83999999997</v>
      </c>
      <c r="G700" s="10">
        <v>749</v>
      </c>
      <c r="H700" s="11">
        <v>648</v>
      </c>
      <c r="I700" s="3"/>
    </row>
    <row r="701" spans="1:9" s="4" customFormat="1" x14ac:dyDescent="0.5">
      <c r="A701" s="8">
        <v>2021</v>
      </c>
      <c r="B701" s="9" t="s">
        <v>21</v>
      </c>
      <c r="C701" s="9" t="s">
        <v>15</v>
      </c>
      <c r="D701" s="9" t="s">
        <v>170</v>
      </c>
      <c r="E701" s="9" t="s">
        <v>229</v>
      </c>
      <c r="F701" s="10">
        <v>421710.24</v>
      </c>
      <c r="G701" s="10">
        <v>232</v>
      </c>
      <c r="H701" s="11">
        <v>351</v>
      </c>
      <c r="I701" s="3"/>
    </row>
    <row r="702" spans="1:9" s="4" customFormat="1" x14ac:dyDescent="0.5">
      <c r="A702" s="8">
        <v>2021</v>
      </c>
      <c r="B702" s="9" t="s">
        <v>23</v>
      </c>
      <c r="C702" s="9" t="s">
        <v>15</v>
      </c>
      <c r="D702" s="9" t="s">
        <v>105</v>
      </c>
      <c r="E702" s="9" t="s">
        <v>233</v>
      </c>
      <c r="F702" s="10">
        <v>428719</v>
      </c>
      <c r="G702" s="10">
        <v>499</v>
      </c>
      <c r="H702" s="11">
        <v>568</v>
      </c>
      <c r="I702" s="3"/>
    </row>
    <row r="703" spans="1:9" s="4" customFormat="1" x14ac:dyDescent="0.5">
      <c r="A703" s="8">
        <v>2021</v>
      </c>
      <c r="B703" s="9" t="s">
        <v>26</v>
      </c>
      <c r="C703" s="9" t="s">
        <v>8</v>
      </c>
      <c r="D703" s="9" t="s">
        <v>90</v>
      </c>
      <c r="E703" s="9" t="s">
        <v>232</v>
      </c>
      <c r="F703" s="10">
        <v>429470.71999999997</v>
      </c>
      <c r="G703" s="10">
        <v>590</v>
      </c>
      <c r="H703" s="11">
        <v>268</v>
      </c>
      <c r="I703" s="3"/>
    </row>
    <row r="704" spans="1:9" s="4" customFormat="1" x14ac:dyDescent="0.5">
      <c r="A704" s="8">
        <v>2021</v>
      </c>
      <c r="B704" s="9" t="s">
        <v>20</v>
      </c>
      <c r="C704" s="9" t="s">
        <v>8</v>
      </c>
      <c r="D704" s="9" t="s">
        <v>200</v>
      </c>
      <c r="E704" s="9" t="s">
        <v>229</v>
      </c>
      <c r="F704" s="10">
        <v>430756</v>
      </c>
      <c r="G704" s="10">
        <v>386</v>
      </c>
      <c r="H704" s="11">
        <v>287</v>
      </c>
      <c r="I704" s="3"/>
    </row>
    <row r="705" spans="1:9" s="4" customFormat="1" x14ac:dyDescent="0.5">
      <c r="A705" s="8">
        <v>2021</v>
      </c>
      <c r="B705" s="9" t="s">
        <v>26</v>
      </c>
      <c r="C705" s="9" t="s">
        <v>9</v>
      </c>
      <c r="D705" s="9" t="s">
        <v>185</v>
      </c>
      <c r="E705" s="9" t="s">
        <v>229</v>
      </c>
      <c r="F705" s="10">
        <v>437881.92</v>
      </c>
      <c r="G705" s="10">
        <v>105</v>
      </c>
      <c r="H705" s="11">
        <v>924</v>
      </c>
      <c r="I705" s="3"/>
    </row>
    <row r="706" spans="1:9" s="4" customFormat="1" x14ac:dyDescent="0.5">
      <c r="A706" s="8">
        <v>2021</v>
      </c>
      <c r="B706" s="9" t="s">
        <v>25</v>
      </c>
      <c r="C706" s="9" t="s">
        <v>13</v>
      </c>
      <c r="D706" s="9" t="s">
        <v>121</v>
      </c>
      <c r="E706" s="9" t="s">
        <v>235</v>
      </c>
      <c r="F706" s="10">
        <v>439391.68</v>
      </c>
      <c r="G706" s="10">
        <v>739</v>
      </c>
      <c r="H706" s="11">
        <v>105</v>
      </c>
      <c r="I706" s="3"/>
    </row>
    <row r="707" spans="1:9" s="4" customFormat="1" x14ac:dyDescent="0.5">
      <c r="A707" s="8">
        <v>2021</v>
      </c>
      <c r="B707" s="9" t="s">
        <v>21</v>
      </c>
      <c r="C707" s="9" t="s">
        <v>11</v>
      </c>
      <c r="D707" s="9" t="s">
        <v>70</v>
      </c>
      <c r="E707" s="9" t="s">
        <v>235</v>
      </c>
      <c r="F707" s="10">
        <v>443828</v>
      </c>
      <c r="G707" s="10">
        <v>249</v>
      </c>
      <c r="H707" s="11">
        <v>975</v>
      </c>
      <c r="I707" s="3"/>
    </row>
    <row r="708" spans="1:9" s="4" customFormat="1" x14ac:dyDescent="0.5">
      <c r="A708" s="8">
        <v>2021</v>
      </c>
      <c r="B708" s="9" t="s">
        <v>22</v>
      </c>
      <c r="C708" s="9" t="s">
        <v>9</v>
      </c>
      <c r="D708" s="9" t="s">
        <v>201</v>
      </c>
      <c r="E708" s="9" t="s">
        <v>228</v>
      </c>
      <c r="F708" s="10">
        <v>457304.96</v>
      </c>
      <c r="G708" s="10">
        <v>573</v>
      </c>
      <c r="H708" s="11">
        <v>784</v>
      </c>
      <c r="I708" s="3"/>
    </row>
    <row r="709" spans="1:9" s="4" customFormat="1" x14ac:dyDescent="0.5">
      <c r="A709" s="8">
        <v>2021</v>
      </c>
      <c r="B709" s="9" t="s">
        <v>19</v>
      </c>
      <c r="C709" s="9" t="s">
        <v>16</v>
      </c>
      <c r="D709" s="9" t="s">
        <v>186</v>
      </c>
      <c r="E709" s="9" t="s">
        <v>235</v>
      </c>
      <c r="F709" s="10">
        <v>461137.6</v>
      </c>
      <c r="G709" s="10">
        <v>268</v>
      </c>
      <c r="H709" s="11">
        <v>118</v>
      </c>
      <c r="I709" s="3"/>
    </row>
    <row r="710" spans="1:9" s="4" customFormat="1" x14ac:dyDescent="0.5">
      <c r="A710" s="8">
        <v>2021</v>
      </c>
      <c r="B710" s="9" t="s">
        <v>21</v>
      </c>
      <c r="C710" s="9" t="s">
        <v>10</v>
      </c>
      <c r="D710" s="9" t="s">
        <v>203</v>
      </c>
      <c r="E710" s="9" t="s">
        <v>229</v>
      </c>
      <c r="F710" s="10">
        <v>462172</v>
      </c>
      <c r="G710" s="10">
        <v>975</v>
      </c>
      <c r="H710" s="11">
        <v>282</v>
      </c>
      <c r="I710" s="3"/>
    </row>
    <row r="711" spans="1:9" s="4" customFormat="1" x14ac:dyDescent="0.5">
      <c r="A711" s="8">
        <v>2021</v>
      </c>
      <c r="B711" s="9" t="s">
        <v>21</v>
      </c>
      <c r="C711" s="9" t="s">
        <v>9</v>
      </c>
      <c r="D711" s="9" t="s">
        <v>74</v>
      </c>
      <c r="E711" s="9" t="s">
        <v>228</v>
      </c>
      <c r="F711" s="10">
        <v>462946.4</v>
      </c>
      <c r="G711" s="10">
        <v>86</v>
      </c>
      <c r="H711" s="11">
        <v>232</v>
      </c>
      <c r="I711" s="3"/>
    </row>
    <row r="712" spans="1:9" s="4" customFormat="1" x14ac:dyDescent="0.5">
      <c r="A712" s="8">
        <v>2021</v>
      </c>
      <c r="B712" s="9" t="s">
        <v>20</v>
      </c>
      <c r="C712" s="9" t="s">
        <v>8</v>
      </c>
      <c r="D712" s="9" t="s">
        <v>38</v>
      </c>
      <c r="E712" s="9" t="s">
        <v>231</v>
      </c>
      <c r="F712" s="10">
        <v>466324.32</v>
      </c>
      <c r="G712" s="10">
        <v>774</v>
      </c>
      <c r="H712" s="11">
        <v>33</v>
      </c>
      <c r="I712" s="3"/>
    </row>
    <row r="713" spans="1:9" s="4" customFormat="1" x14ac:dyDescent="0.5">
      <c r="A713" s="8">
        <v>2021</v>
      </c>
      <c r="B713" s="9" t="s">
        <v>23</v>
      </c>
      <c r="C713" s="9" t="s">
        <v>16</v>
      </c>
      <c r="D713" s="9" t="s">
        <v>116</v>
      </c>
      <c r="E713" s="9" t="s">
        <v>236</v>
      </c>
      <c r="F713" s="10">
        <v>466533</v>
      </c>
      <c r="G713" s="10">
        <v>98</v>
      </c>
      <c r="H713" s="11">
        <v>968</v>
      </c>
      <c r="I713" s="3"/>
    </row>
    <row r="714" spans="1:9" s="4" customFormat="1" x14ac:dyDescent="0.5">
      <c r="A714" s="8">
        <v>2021</v>
      </c>
      <c r="B714" s="9" t="s">
        <v>27</v>
      </c>
      <c r="C714" s="9" t="s">
        <v>8</v>
      </c>
      <c r="D714" s="9" t="s">
        <v>198</v>
      </c>
      <c r="E714" s="9" t="s">
        <v>233</v>
      </c>
      <c r="F714" s="10">
        <v>466947.04</v>
      </c>
      <c r="G714" s="10">
        <v>342</v>
      </c>
      <c r="H714" s="11">
        <v>968</v>
      </c>
      <c r="I714" s="3"/>
    </row>
    <row r="715" spans="1:9" s="4" customFormat="1" x14ac:dyDescent="0.5">
      <c r="A715" s="8">
        <v>2021</v>
      </c>
      <c r="B715" s="9" t="s">
        <v>25</v>
      </c>
      <c r="C715" s="9" t="s">
        <v>17</v>
      </c>
      <c r="D715" s="9" t="s">
        <v>64</v>
      </c>
      <c r="E715" s="9" t="s">
        <v>233</v>
      </c>
      <c r="F715" s="10">
        <v>472993.92</v>
      </c>
      <c r="G715" s="10">
        <v>479</v>
      </c>
      <c r="H715" s="11">
        <v>934</v>
      </c>
      <c r="I715" s="3"/>
    </row>
    <row r="716" spans="1:9" s="4" customFormat="1" x14ac:dyDescent="0.5">
      <c r="A716" s="8">
        <v>2021</v>
      </c>
      <c r="B716" s="9" t="s">
        <v>24</v>
      </c>
      <c r="C716" s="9" t="s">
        <v>12</v>
      </c>
      <c r="D716" s="9" t="s">
        <v>225</v>
      </c>
      <c r="E716" s="9" t="s">
        <v>233</v>
      </c>
      <c r="F716" s="10">
        <v>482446.72</v>
      </c>
      <c r="G716" s="10">
        <v>869</v>
      </c>
      <c r="H716" s="11">
        <v>930</v>
      </c>
      <c r="I716" s="3"/>
    </row>
    <row r="717" spans="1:9" s="4" customFormat="1" x14ac:dyDescent="0.5">
      <c r="A717" s="8">
        <v>2021</v>
      </c>
      <c r="B717" s="9" t="s">
        <v>25</v>
      </c>
      <c r="C717" s="9" t="s">
        <v>11</v>
      </c>
      <c r="D717" s="9" t="s">
        <v>32</v>
      </c>
      <c r="E717" s="9" t="s">
        <v>234</v>
      </c>
      <c r="F717" s="10">
        <v>482446.72</v>
      </c>
      <c r="G717" s="10">
        <v>515</v>
      </c>
      <c r="H717" s="11">
        <v>210</v>
      </c>
      <c r="I717" s="3"/>
    </row>
    <row r="718" spans="1:9" s="4" customFormat="1" x14ac:dyDescent="0.5">
      <c r="A718" s="8">
        <v>2021</v>
      </c>
      <c r="B718" s="9" t="s">
        <v>19</v>
      </c>
      <c r="C718" s="9" t="s">
        <v>17</v>
      </c>
      <c r="D718" s="9" t="s">
        <v>52</v>
      </c>
      <c r="E718" s="9" t="s">
        <v>236</v>
      </c>
      <c r="F718" s="10">
        <v>482446.72</v>
      </c>
      <c r="G718" s="10">
        <v>970</v>
      </c>
      <c r="H718" s="11">
        <v>616</v>
      </c>
      <c r="I718" s="3"/>
    </row>
    <row r="719" spans="1:9" s="4" customFormat="1" x14ac:dyDescent="0.5">
      <c r="A719" s="8">
        <v>2021</v>
      </c>
      <c r="B719" s="9" t="s">
        <v>27</v>
      </c>
      <c r="C719" s="9" t="s">
        <v>15</v>
      </c>
      <c r="D719" s="9" t="s">
        <v>69</v>
      </c>
      <c r="E719" s="9" t="s">
        <v>234</v>
      </c>
      <c r="F719" s="10">
        <v>483679.83999999997</v>
      </c>
      <c r="G719" s="10">
        <v>734</v>
      </c>
      <c r="H719" s="11">
        <v>568</v>
      </c>
      <c r="I719" s="3"/>
    </row>
    <row r="720" spans="1:9" s="4" customFormat="1" x14ac:dyDescent="0.5">
      <c r="A720" s="8">
        <v>2021</v>
      </c>
      <c r="B720" s="9" t="s">
        <v>26</v>
      </c>
      <c r="C720" s="9" t="s">
        <v>12</v>
      </c>
      <c r="D720" s="9" t="s">
        <v>53</v>
      </c>
      <c r="E720" s="9" t="s">
        <v>233</v>
      </c>
      <c r="F720" s="10">
        <v>491219.68</v>
      </c>
      <c r="G720" s="10">
        <v>929</v>
      </c>
      <c r="H720" s="11">
        <v>590</v>
      </c>
      <c r="I720" s="3"/>
    </row>
    <row r="721" spans="1:9" s="4" customFormat="1" x14ac:dyDescent="0.5">
      <c r="A721" s="8">
        <v>2021</v>
      </c>
      <c r="B721" s="9" t="s">
        <v>21</v>
      </c>
      <c r="C721" s="9" t="s">
        <v>14</v>
      </c>
      <c r="D721" s="9" t="s">
        <v>97</v>
      </c>
      <c r="E721" s="9" t="s">
        <v>232</v>
      </c>
      <c r="F721" s="10">
        <v>508671.52</v>
      </c>
      <c r="G721" s="10">
        <v>461</v>
      </c>
      <c r="H721" s="11">
        <v>615</v>
      </c>
      <c r="I721" s="3"/>
    </row>
    <row r="722" spans="1:9" s="4" customFormat="1" x14ac:dyDescent="0.5">
      <c r="A722" s="8">
        <v>2021</v>
      </c>
      <c r="B722" s="9" t="s">
        <v>24</v>
      </c>
      <c r="C722" s="9" t="s">
        <v>13</v>
      </c>
      <c r="D722" s="9" t="s">
        <v>159</v>
      </c>
      <c r="E722" s="9" t="s">
        <v>235</v>
      </c>
      <c r="F722" s="10">
        <v>511374.08000000002</v>
      </c>
      <c r="G722" s="10">
        <v>591</v>
      </c>
      <c r="H722" s="11">
        <v>810</v>
      </c>
      <c r="I722" s="3"/>
    </row>
    <row r="723" spans="1:9" s="4" customFormat="1" x14ac:dyDescent="0.5">
      <c r="A723" s="8">
        <v>2021</v>
      </c>
      <c r="B723" s="9" t="s">
        <v>25</v>
      </c>
      <c r="C723" s="9" t="s">
        <v>8</v>
      </c>
      <c r="D723" s="9" t="s">
        <v>222</v>
      </c>
      <c r="E723" s="9" t="s">
        <v>232</v>
      </c>
      <c r="F723" s="10">
        <v>513714.88</v>
      </c>
      <c r="G723" s="10">
        <v>616</v>
      </c>
      <c r="H723" s="11">
        <v>398</v>
      </c>
      <c r="I723" s="3"/>
    </row>
    <row r="724" spans="1:9" s="4" customFormat="1" x14ac:dyDescent="0.5">
      <c r="A724" s="8">
        <v>2021</v>
      </c>
      <c r="B724" s="9" t="s">
        <v>22</v>
      </c>
      <c r="C724" s="9" t="s">
        <v>16</v>
      </c>
      <c r="D724" s="9" t="s">
        <v>128</v>
      </c>
      <c r="E724" s="9" t="s">
        <v>231</v>
      </c>
      <c r="F724" s="10">
        <v>516552</v>
      </c>
      <c r="G724" s="10">
        <v>911</v>
      </c>
      <c r="H724" s="11">
        <v>105</v>
      </c>
      <c r="I724" s="3"/>
    </row>
    <row r="725" spans="1:9" s="4" customFormat="1" x14ac:dyDescent="0.5">
      <c r="A725" s="8">
        <v>2021</v>
      </c>
      <c r="B725" s="9" t="s">
        <v>22</v>
      </c>
      <c r="C725" s="9" t="s">
        <v>16</v>
      </c>
      <c r="D725" s="9" t="s">
        <v>113</v>
      </c>
      <c r="E725" s="9" t="s">
        <v>231</v>
      </c>
      <c r="F725" s="10">
        <v>517632.64</v>
      </c>
      <c r="G725" s="10">
        <v>911</v>
      </c>
      <c r="H725" s="11">
        <v>105</v>
      </c>
      <c r="I725" s="3"/>
    </row>
    <row r="726" spans="1:9" s="4" customFormat="1" x14ac:dyDescent="0.5">
      <c r="A726" s="8">
        <v>2021</v>
      </c>
      <c r="B726" s="9" t="s">
        <v>20</v>
      </c>
      <c r="C726" s="9" t="s">
        <v>8</v>
      </c>
      <c r="D726" s="9" t="s">
        <v>209</v>
      </c>
      <c r="E726" s="9" t="s">
        <v>228</v>
      </c>
      <c r="F726" s="10">
        <v>521766.56</v>
      </c>
      <c r="G726" s="10">
        <v>386</v>
      </c>
      <c r="H726" s="11">
        <v>287</v>
      </c>
      <c r="I726" s="3"/>
    </row>
    <row r="727" spans="1:9" s="4" customFormat="1" x14ac:dyDescent="0.5">
      <c r="A727" s="8">
        <v>2021</v>
      </c>
      <c r="B727" s="9" t="s">
        <v>27</v>
      </c>
      <c r="C727" s="9" t="s">
        <v>9</v>
      </c>
      <c r="D727" s="9" t="s">
        <v>132</v>
      </c>
      <c r="E727" s="9" t="s">
        <v>229</v>
      </c>
      <c r="F727" s="10">
        <v>524174</v>
      </c>
      <c r="G727" s="10">
        <v>962</v>
      </c>
      <c r="H727" s="11">
        <v>28</v>
      </c>
      <c r="I727" s="3"/>
    </row>
    <row r="728" spans="1:9" s="4" customFormat="1" x14ac:dyDescent="0.5">
      <c r="A728" s="8">
        <v>2021</v>
      </c>
      <c r="B728" s="9" t="s">
        <v>25</v>
      </c>
      <c r="C728" s="9" t="s">
        <v>15</v>
      </c>
      <c r="D728" s="9" t="s">
        <v>202</v>
      </c>
      <c r="E728" s="9" t="s">
        <v>232</v>
      </c>
      <c r="F728" s="10">
        <v>524939.52000000002</v>
      </c>
      <c r="G728" s="10">
        <v>156</v>
      </c>
      <c r="H728" s="11">
        <v>54</v>
      </c>
      <c r="I728" s="3"/>
    </row>
    <row r="729" spans="1:9" s="4" customFormat="1" x14ac:dyDescent="0.5">
      <c r="A729" s="8">
        <v>2021</v>
      </c>
      <c r="B729" s="9" t="s">
        <v>18</v>
      </c>
      <c r="C729" s="9" t="s">
        <v>10</v>
      </c>
      <c r="D729" s="9" t="s">
        <v>68</v>
      </c>
      <c r="E729" s="9" t="s">
        <v>232</v>
      </c>
      <c r="F729" s="10">
        <v>526794.23999999999</v>
      </c>
      <c r="G729" s="10">
        <v>615</v>
      </c>
      <c r="H729" s="11">
        <v>851</v>
      </c>
      <c r="I729" s="3"/>
    </row>
    <row r="730" spans="1:9" s="4" customFormat="1" x14ac:dyDescent="0.5">
      <c r="A730" s="8">
        <v>2021</v>
      </c>
      <c r="B730" s="9" t="s">
        <v>25</v>
      </c>
      <c r="C730" s="9" t="s">
        <v>17</v>
      </c>
      <c r="D730" s="9" t="s">
        <v>207</v>
      </c>
      <c r="E730" s="9" t="s">
        <v>231</v>
      </c>
      <c r="F730" s="10">
        <v>543778</v>
      </c>
      <c r="G730" s="10">
        <v>934</v>
      </c>
      <c r="H730" s="11">
        <v>75</v>
      </c>
      <c r="I730" s="3"/>
    </row>
    <row r="731" spans="1:9" s="4" customFormat="1" x14ac:dyDescent="0.5">
      <c r="A731" s="8">
        <v>2021</v>
      </c>
      <c r="B731" s="9" t="s">
        <v>25</v>
      </c>
      <c r="C731" s="9" t="s">
        <v>9</v>
      </c>
      <c r="D731" s="9" t="s">
        <v>187</v>
      </c>
      <c r="E731" s="9" t="s">
        <v>231</v>
      </c>
      <c r="F731" s="10">
        <v>566350.4</v>
      </c>
      <c r="G731" s="10">
        <v>601</v>
      </c>
      <c r="H731" s="11">
        <v>413</v>
      </c>
      <c r="I731" s="3"/>
    </row>
    <row r="732" spans="1:9" s="4" customFormat="1" x14ac:dyDescent="0.5">
      <c r="A732" s="8">
        <v>2021</v>
      </c>
      <c r="B732" s="9" t="s">
        <v>23</v>
      </c>
      <c r="C732" s="9" t="s">
        <v>15</v>
      </c>
      <c r="D732" s="9" t="s">
        <v>157</v>
      </c>
      <c r="E732" s="9" t="s">
        <v>233</v>
      </c>
      <c r="F732" s="10">
        <v>567481.59999999998</v>
      </c>
      <c r="G732" s="10">
        <v>499</v>
      </c>
      <c r="H732" s="11">
        <v>568</v>
      </c>
      <c r="I732" s="3"/>
    </row>
    <row r="733" spans="1:9" s="4" customFormat="1" x14ac:dyDescent="0.5">
      <c r="A733" s="8">
        <v>2021</v>
      </c>
      <c r="B733" s="9" t="s">
        <v>21</v>
      </c>
      <c r="C733" s="9" t="s">
        <v>14</v>
      </c>
      <c r="D733" s="9" t="s">
        <v>140</v>
      </c>
      <c r="E733" s="9" t="s">
        <v>232</v>
      </c>
      <c r="F733" s="10">
        <v>584907</v>
      </c>
      <c r="G733" s="10">
        <v>461</v>
      </c>
      <c r="H733" s="11">
        <v>615</v>
      </c>
      <c r="I733" s="3"/>
    </row>
    <row r="734" spans="1:9" s="4" customFormat="1" x14ac:dyDescent="0.5">
      <c r="A734" s="8">
        <v>2021</v>
      </c>
      <c r="B734" s="9" t="s">
        <v>21</v>
      </c>
      <c r="C734" s="9" t="s">
        <v>13</v>
      </c>
      <c r="D734" s="9" t="s">
        <v>110</v>
      </c>
      <c r="E734" s="9" t="s">
        <v>232</v>
      </c>
      <c r="F734" s="10">
        <v>586849.76</v>
      </c>
      <c r="G734" s="10">
        <v>61</v>
      </c>
      <c r="H734" s="11">
        <v>28</v>
      </c>
      <c r="I734" s="3"/>
    </row>
    <row r="735" spans="1:9" s="4" customFormat="1" x14ac:dyDescent="0.5">
      <c r="A735" s="8">
        <v>2021</v>
      </c>
      <c r="B735" s="9" t="s">
        <v>26</v>
      </c>
      <c r="C735" s="9" t="s">
        <v>9</v>
      </c>
      <c r="D735" s="9" t="s">
        <v>211</v>
      </c>
      <c r="E735" s="9" t="s">
        <v>233</v>
      </c>
      <c r="F735" s="10">
        <v>589634</v>
      </c>
      <c r="G735" s="10">
        <v>105</v>
      </c>
      <c r="H735" s="11">
        <v>924</v>
      </c>
      <c r="I735" s="3"/>
    </row>
    <row r="736" spans="1:9" s="4" customFormat="1" x14ac:dyDescent="0.5">
      <c r="A736" s="8">
        <v>2021</v>
      </c>
      <c r="B736" s="9" t="s">
        <v>19</v>
      </c>
      <c r="C736" s="9" t="s">
        <v>17</v>
      </c>
      <c r="D736" s="9" t="s">
        <v>108</v>
      </c>
      <c r="E736" s="9" t="s">
        <v>233</v>
      </c>
      <c r="F736" s="10">
        <v>612550.40000000002</v>
      </c>
      <c r="G736" s="10">
        <v>957</v>
      </c>
      <c r="H736" s="11">
        <v>210</v>
      </c>
      <c r="I736" s="3"/>
    </row>
    <row r="737" spans="1:9" s="4" customFormat="1" x14ac:dyDescent="0.5">
      <c r="A737" s="8">
        <v>2021</v>
      </c>
      <c r="B737" s="9" t="s">
        <v>19</v>
      </c>
      <c r="C737" s="9" t="s">
        <v>17</v>
      </c>
      <c r="D737" s="9" t="s">
        <v>146</v>
      </c>
      <c r="E737" s="9" t="s">
        <v>231</v>
      </c>
      <c r="F737" s="10">
        <v>612647</v>
      </c>
      <c r="G737" s="10">
        <v>150</v>
      </c>
      <c r="H737" s="11">
        <v>413</v>
      </c>
      <c r="I737" s="3"/>
    </row>
    <row r="738" spans="1:9" s="4" customFormat="1" x14ac:dyDescent="0.5">
      <c r="A738" s="8">
        <v>2021</v>
      </c>
      <c r="B738" s="9" t="s">
        <v>25</v>
      </c>
      <c r="C738" s="9" t="s">
        <v>15</v>
      </c>
      <c r="D738" s="9" t="s">
        <v>150</v>
      </c>
      <c r="E738" s="9" t="s">
        <v>231</v>
      </c>
      <c r="F738" s="10">
        <v>625926</v>
      </c>
      <c r="G738" s="10">
        <v>610</v>
      </c>
      <c r="H738" s="11">
        <v>851</v>
      </c>
      <c r="I738" s="3"/>
    </row>
    <row r="739" spans="1:9" s="4" customFormat="1" x14ac:dyDescent="0.5">
      <c r="A739" s="8">
        <v>2021</v>
      </c>
      <c r="B739" s="9" t="s">
        <v>18</v>
      </c>
      <c r="C739" s="9" t="s">
        <v>8</v>
      </c>
      <c r="D739" s="9" t="s">
        <v>213</v>
      </c>
      <c r="E739" s="9" t="s">
        <v>233</v>
      </c>
      <c r="F739" s="10">
        <v>629942</v>
      </c>
      <c r="G739" s="10">
        <v>256</v>
      </c>
      <c r="H739" s="11">
        <v>839</v>
      </c>
      <c r="I739" s="3"/>
    </row>
    <row r="740" spans="1:9" s="4" customFormat="1" x14ac:dyDescent="0.5">
      <c r="A740" s="8">
        <v>2021</v>
      </c>
      <c r="B740" s="9" t="s">
        <v>25</v>
      </c>
      <c r="C740" s="9" t="s">
        <v>11</v>
      </c>
      <c r="D740" s="9" t="s">
        <v>152</v>
      </c>
      <c r="E740" s="9" t="s">
        <v>232</v>
      </c>
      <c r="F740" s="10">
        <v>631391</v>
      </c>
      <c r="G740" s="10">
        <v>515</v>
      </c>
      <c r="H740" s="11">
        <v>210</v>
      </c>
      <c r="I740" s="3"/>
    </row>
    <row r="741" spans="1:9" s="4" customFormat="1" x14ac:dyDescent="0.5">
      <c r="A741" s="8">
        <v>2021</v>
      </c>
      <c r="B741" s="9" t="s">
        <v>25</v>
      </c>
      <c r="C741" s="9" t="s">
        <v>13</v>
      </c>
      <c r="D741" s="9" t="s">
        <v>153</v>
      </c>
      <c r="E741" s="9" t="s">
        <v>231</v>
      </c>
      <c r="F741" s="10">
        <v>634029</v>
      </c>
      <c r="G741" s="10">
        <v>739</v>
      </c>
      <c r="H741" s="11">
        <v>105</v>
      </c>
      <c r="I741" s="3"/>
    </row>
    <row r="742" spans="1:9" s="4" customFormat="1" x14ac:dyDescent="0.5">
      <c r="A742" s="8">
        <v>2021</v>
      </c>
      <c r="B742" s="9" t="s">
        <v>24</v>
      </c>
      <c r="C742" s="9" t="s">
        <v>12</v>
      </c>
      <c r="D742" s="9" t="s">
        <v>191</v>
      </c>
      <c r="E742" s="9" t="s">
        <v>233</v>
      </c>
      <c r="F742" s="10">
        <v>635797.12</v>
      </c>
      <c r="G742" s="10">
        <v>869</v>
      </c>
      <c r="H742" s="11">
        <v>930</v>
      </c>
      <c r="I742" s="3"/>
    </row>
    <row r="743" spans="1:9" s="4" customFormat="1" x14ac:dyDescent="0.5">
      <c r="A743" s="8">
        <v>2021</v>
      </c>
      <c r="B743" s="9" t="s">
        <v>27</v>
      </c>
      <c r="C743" s="9" t="s">
        <v>9</v>
      </c>
      <c r="D743" s="9" t="s">
        <v>155</v>
      </c>
      <c r="E743" s="9" t="s">
        <v>229</v>
      </c>
      <c r="F743" s="10">
        <v>653988.16</v>
      </c>
      <c r="G743" s="10">
        <v>962</v>
      </c>
      <c r="H743" s="11">
        <v>28</v>
      </c>
      <c r="I743" s="3"/>
    </row>
    <row r="744" spans="1:9" s="4" customFormat="1" x14ac:dyDescent="0.5">
      <c r="A744" s="8">
        <v>2021</v>
      </c>
      <c r="B744" s="9" t="s">
        <v>18</v>
      </c>
      <c r="C744" s="9" t="s">
        <v>10</v>
      </c>
      <c r="D744" s="9" t="s">
        <v>78</v>
      </c>
      <c r="E744" s="9" t="s">
        <v>232</v>
      </c>
      <c r="F744" s="10">
        <v>655095.84</v>
      </c>
      <c r="G744" s="10">
        <v>615</v>
      </c>
      <c r="H744" s="11">
        <v>851</v>
      </c>
      <c r="I744" s="3"/>
    </row>
    <row r="745" spans="1:9" s="4" customFormat="1" x14ac:dyDescent="0.5">
      <c r="A745" s="8">
        <v>2021</v>
      </c>
      <c r="B745" s="9" t="s">
        <v>18</v>
      </c>
      <c r="C745" s="9" t="s">
        <v>10</v>
      </c>
      <c r="D745" s="9" t="s">
        <v>79</v>
      </c>
      <c r="E745" s="9" t="s">
        <v>232</v>
      </c>
      <c r="F745" s="10">
        <v>660390.07999999996</v>
      </c>
      <c r="G745" s="10">
        <v>615</v>
      </c>
      <c r="H745" s="11">
        <v>851</v>
      </c>
      <c r="I745" s="3"/>
    </row>
    <row r="746" spans="1:9" s="4" customFormat="1" x14ac:dyDescent="0.5">
      <c r="A746" s="8">
        <v>2021</v>
      </c>
      <c r="B746" s="9" t="s">
        <v>26</v>
      </c>
      <c r="C746" s="9" t="s">
        <v>9</v>
      </c>
      <c r="D746" s="9" t="s">
        <v>147</v>
      </c>
      <c r="E746" s="9" t="s">
        <v>229</v>
      </c>
      <c r="F746" s="10">
        <v>668335.35999999999</v>
      </c>
      <c r="G746" s="10">
        <v>105</v>
      </c>
      <c r="H746" s="11">
        <v>924</v>
      </c>
      <c r="I746" s="3"/>
    </row>
    <row r="747" spans="1:9" s="4" customFormat="1" x14ac:dyDescent="0.5">
      <c r="A747" s="8">
        <v>2021</v>
      </c>
      <c r="B747" s="9" t="s">
        <v>21</v>
      </c>
      <c r="C747" s="9" t="s">
        <v>9</v>
      </c>
      <c r="D747" s="9" t="s">
        <v>96</v>
      </c>
      <c r="E747" s="9" t="s">
        <v>228</v>
      </c>
      <c r="F747" s="10">
        <v>670153.12</v>
      </c>
      <c r="G747" s="10">
        <v>86</v>
      </c>
      <c r="H747" s="11">
        <v>232</v>
      </c>
      <c r="I747" s="3"/>
    </row>
    <row r="748" spans="1:9" s="4" customFormat="1" x14ac:dyDescent="0.5">
      <c r="A748" s="8">
        <v>2021</v>
      </c>
      <c r="B748" s="9" t="s">
        <v>19</v>
      </c>
      <c r="C748" s="9" t="s">
        <v>17</v>
      </c>
      <c r="D748" s="9" t="s">
        <v>77</v>
      </c>
      <c r="E748" s="9" t="s">
        <v>236</v>
      </c>
      <c r="F748" s="10">
        <v>685790.56</v>
      </c>
      <c r="G748" s="10">
        <v>970</v>
      </c>
      <c r="H748" s="11">
        <v>616</v>
      </c>
      <c r="I748" s="3"/>
    </row>
    <row r="749" spans="1:9" s="4" customFormat="1" x14ac:dyDescent="0.5">
      <c r="A749" s="8">
        <v>2021</v>
      </c>
      <c r="B749" s="9" t="s">
        <v>19</v>
      </c>
      <c r="C749" s="9" t="s">
        <v>17</v>
      </c>
      <c r="D749" s="9" t="s">
        <v>71</v>
      </c>
      <c r="E749" s="9" t="s">
        <v>232</v>
      </c>
      <c r="F749" s="10">
        <v>692508.32</v>
      </c>
      <c r="G749" s="10">
        <v>150</v>
      </c>
      <c r="H749" s="11">
        <v>413</v>
      </c>
      <c r="I749" s="3"/>
    </row>
    <row r="750" spans="1:9" s="4" customFormat="1" x14ac:dyDescent="0.5">
      <c r="A750" s="8">
        <v>2021</v>
      </c>
      <c r="B750" s="9" t="s">
        <v>24</v>
      </c>
      <c r="C750" s="9" t="s">
        <v>15</v>
      </c>
      <c r="D750" s="9" t="s">
        <v>123</v>
      </c>
      <c r="E750" s="9" t="s">
        <v>229</v>
      </c>
      <c r="F750" s="10">
        <v>692508.32</v>
      </c>
      <c r="G750" s="10">
        <v>873</v>
      </c>
      <c r="H750" s="11">
        <v>287</v>
      </c>
      <c r="I750" s="3"/>
    </row>
    <row r="751" spans="1:9" s="4" customFormat="1" x14ac:dyDescent="0.5">
      <c r="A751" s="8">
        <v>2021</v>
      </c>
      <c r="B751" s="9" t="s">
        <v>21</v>
      </c>
      <c r="C751" s="9" t="s">
        <v>10</v>
      </c>
      <c r="D751" s="9" t="s">
        <v>91</v>
      </c>
      <c r="E751" s="9" t="s">
        <v>229</v>
      </c>
      <c r="F751" s="10">
        <v>692508.32</v>
      </c>
      <c r="G751" s="10">
        <v>975</v>
      </c>
      <c r="H751" s="11">
        <v>282</v>
      </c>
      <c r="I751" s="3"/>
    </row>
    <row r="752" spans="1:9" s="4" customFormat="1" x14ac:dyDescent="0.5">
      <c r="A752" s="8">
        <v>2021</v>
      </c>
      <c r="B752" s="9" t="s">
        <v>25</v>
      </c>
      <c r="C752" s="9" t="s">
        <v>17</v>
      </c>
      <c r="D752" s="9" t="s">
        <v>145</v>
      </c>
      <c r="E752" s="9" t="s">
        <v>232</v>
      </c>
      <c r="F752" s="10">
        <v>697089.12</v>
      </c>
      <c r="G752" s="10">
        <v>479</v>
      </c>
      <c r="H752" s="11">
        <v>934</v>
      </c>
      <c r="I752" s="3"/>
    </row>
    <row r="753" spans="1:9" s="4" customFormat="1" x14ac:dyDescent="0.5">
      <c r="A753" s="8">
        <v>2021</v>
      </c>
      <c r="B753" s="9" t="s">
        <v>22</v>
      </c>
      <c r="C753" s="9" t="s">
        <v>14</v>
      </c>
      <c r="D753" s="9" t="s">
        <v>127</v>
      </c>
      <c r="E753" s="9" t="s">
        <v>232</v>
      </c>
      <c r="F753" s="10">
        <v>701037.12</v>
      </c>
      <c r="G753" s="10">
        <v>843</v>
      </c>
      <c r="H753" s="11">
        <v>839</v>
      </c>
      <c r="I753" s="3"/>
    </row>
    <row r="754" spans="1:9" s="4" customFormat="1" x14ac:dyDescent="0.5">
      <c r="A754" s="8">
        <v>2021</v>
      </c>
      <c r="B754" s="9" t="s">
        <v>18</v>
      </c>
      <c r="C754" s="9" t="s">
        <v>15</v>
      </c>
      <c r="D754" s="9" t="s">
        <v>144</v>
      </c>
      <c r="E754" s="9" t="s">
        <v>229</v>
      </c>
      <c r="F754" s="10">
        <v>705535.04</v>
      </c>
      <c r="G754" s="10">
        <v>137</v>
      </c>
      <c r="H754" s="11">
        <v>784</v>
      </c>
      <c r="I754" s="3"/>
    </row>
    <row r="755" spans="1:9" s="4" customFormat="1" x14ac:dyDescent="0.5">
      <c r="A755" s="8">
        <v>2021</v>
      </c>
      <c r="B755" s="9" t="s">
        <v>20</v>
      </c>
      <c r="C755" s="9" t="s">
        <v>8</v>
      </c>
      <c r="D755" s="9" t="s">
        <v>136</v>
      </c>
      <c r="E755" s="9" t="s">
        <v>231</v>
      </c>
      <c r="F755" s="10">
        <v>706171.2</v>
      </c>
      <c r="G755" s="10">
        <v>774</v>
      </c>
      <c r="H755" s="11">
        <v>33</v>
      </c>
      <c r="I755" s="3"/>
    </row>
    <row r="756" spans="1:9" s="4" customFormat="1" x14ac:dyDescent="0.5">
      <c r="A756" s="8">
        <v>2021</v>
      </c>
      <c r="B756" s="9" t="s">
        <v>22</v>
      </c>
      <c r="C756" s="9" t="s">
        <v>9</v>
      </c>
      <c r="D756" s="9" t="s">
        <v>130</v>
      </c>
      <c r="E756" s="9" t="s">
        <v>231</v>
      </c>
      <c r="F756" s="10">
        <v>707157.92</v>
      </c>
      <c r="G756" s="10">
        <v>573</v>
      </c>
      <c r="H756" s="11">
        <v>784</v>
      </c>
      <c r="I756" s="3"/>
    </row>
    <row r="757" spans="1:9" s="4" customFormat="1" x14ac:dyDescent="0.5">
      <c r="A757" s="8">
        <v>2021</v>
      </c>
      <c r="B757" s="9" t="s">
        <v>26</v>
      </c>
      <c r="C757" s="9" t="s">
        <v>8</v>
      </c>
      <c r="D757" s="9" t="s">
        <v>72</v>
      </c>
      <c r="E757" s="9" t="s">
        <v>232</v>
      </c>
      <c r="F757" s="10">
        <v>710112.48</v>
      </c>
      <c r="G757" s="10">
        <v>590</v>
      </c>
      <c r="H757" s="11">
        <v>268</v>
      </c>
      <c r="I757" s="3"/>
    </row>
    <row r="758" spans="1:9" s="4" customFormat="1" x14ac:dyDescent="0.5">
      <c r="A758" s="8">
        <v>2021</v>
      </c>
      <c r="B758" s="9" t="s">
        <v>25</v>
      </c>
      <c r="C758" s="9" t="s">
        <v>13</v>
      </c>
      <c r="D758" s="9" t="s">
        <v>80</v>
      </c>
      <c r="E758" s="9" t="s">
        <v>235</v>
      </c>
      <c r="F758" s="10">
        <v>712968.48</v>
      </c>
      <c r="G758" s="10">
        <v>739</v>
      </c>
      <c r="H758" s="11">
        <v>105</v>
      </c>
      <c r="I758" s="3"/>
    </row>
    <row r="759" spans="1:9" s="4" customFormat="1" x14ac:dyDescent="0.5">
      <c r="A759" s="8">
        <v>2021</v>
      </c>
      <c r="B759" s="9" t="s">
        <v>25</v>
      </c>
      <c r="C759" s="9" t="s">
        <v>15</v>
      </c>
      <c r="D759" s="9" t="s">
        <v>162</v>
      </c>
      <c r="E759" s="9" t="s">
        <v>231</v>
      </c>
      <c r="F759" s="10">
        <v>729331</v>
      </c>
      <c r="G759" s="10">
        <v>610</v>
      </c>
      <c r="H759" s="11">
        <v>851</v>
      </c>
      <c r="I759" s="3"/>
    </row>
    <row r="760" spans="1:9" s="4" customFormat="1" x14ac:dyDescent="0.5">
      <c r="A760" s="8">
        <v>2021</v>
      </c>
      <c r="B760" s="9" t="s">
        <v>22</v>
      </c>
      <c r="C760" s="9" t="s">
        <v>14</v>
      </c>
      <c r="D760" s="9" t="s">
        <v>174</v>
      </c>
      <c r="E760" s="9" t="s">
        <v>232</v>
      </c>
      <c r="F760" s="10">
        <v>764721.44</v>
      </c>
      <c r="G760" s="10">
        <v>843</v>
      </c>
      <c r="H760" s="11">
        <v>839</v>
      </c>
      <c r="I760" s="3"/>
    </row>
    <row r="761" spans="1:9" s="4" customFormat="1" x14ac:dyDescent="0.5">
      <c r="A761" s="8">
        <v>2021</v>
      </c>
      <c r="B761" s="9" t="s">
        <v>26</v>
      </c>
      <c r="C761" s="9" t="s">
        <v>8</v>
      </c>
      <c r="D761" s="9" t="s">
        <v>167</v>
      </c>
      <c r="E761" s="9" t="s">
        <v>229</v>
      </c>
      <c r="F761" s="10">
        <v>769514</v>
      </c>
      <c r="G761" s="10">
        <v>590</v>
      </c>
      <c r="H761" s="11">
        <v>268</v>
      </c>
      <c r="I761" s="3"/>
    </row>
    <row r="762" spans="1:9" s="4" customFormat="1" x14ac:dyDescent="0.5">
      <c r="A762" s="8">
        <v>2021</v>
      </c>
      <c r="B762" s="9" t="s">
        <v>20</v>
      </c>
      <c r="C762" s="9" t="s">
        <v>14</v>
      </c>
      <c r="D762" s="9" t="s">
        <v>109</v>
      </c>
      <c r="E762" s="9" t="s">
        <v>228</v>
      </c>
      <c r="F762" s="10">
        <v>786367.67999999993</v>
      </c>
      <c r="G762" s="10">
        <v>299</v>
      </c>
      <c r="H762" s="11">
        <v>975</v>
      </c>
      <c r="I762" s="3"/>
    </row>
    <row r="763" spans="1:9" s="4" customFormat="1" x14ac:dyDescent="0.5">
      <c r="A763" s="8">
        <v>2021</v>
      </c>
      <c r="B763" s="9" t="s">
        <v>26</v>
      </c>
      <c r="C763" s="9" t="s">
        <v>12</v>
      </c>
      <c r="D763" s="9" t="s">
        <v>156</v>
      </c>
      <c r="E763" s="9" t="s">
        <v>233</v>
      </c>
      <c r="F763" s="10">
        <v>801894.24</v>
      </c>
      <c r="G763" s="10">
        <v>929</v>
      </c>
      <c r="H763" s="11">
        <v>590</v>
      </c>
      <c r="I763" s="3"/>
    </row>
    <row r="764" spans="1:9" s="4" customFormat="1" x14ac:dyDescent="0.5">
      <c r="A764" s="8">
        <v>2021</v>
      </c>
      <c r="B764" s="9" t="s">
        <v>27</v>
      </c>
      <c r="C764" s="9" t="s">
        <v>10</v>
      </c>
      <c r="D764" s="9" t="s">
        <v>171</v>
      </c>
      <c r="E764" s="9" t="s">
        <v>232</v>
      </c>
      <c r="F764" s="10">
        <v>801894.24</v>
      </c>
      <c r="G764" s="10">
        <v>871</v>
      </c>
      <c r="H764" s="11">
        <v>810</v>
      </c>
      <c r="I764" s="3"/>
    </row>
    <row r="765" spans="1:9" s="4" customFormat="1" x14ac:dyDescent="0.5">
      <c r="A765" s="8">
        <v>2021</v>
      </c>
      <c r="B765" s="9" t="s">
        <v>23</v>
      </c>
      <c r="C765" s="9" t="s">
        <v>15</v>
      </c>
      <c r="D765" s="9" t="s">
        <v>172</v>
      </c>
      <c r="E765" s="9" t="s">
        <v>231</v>
      </c>
      <c r="F765" s="10">
        <v>810445</v>
      </c>
      <c r="G765" s="10">
        <v>849</v>
      </c>
      <c r="H765" s="11">
        <v>156</v>
      </c>
      <c r="I765" s="3"/>
    </row>
    <row r="766" spans="1:9" s="4" customFormat="1" x14ac:dyDescent="0.5">
      <c r="A766" s="8">
        <v>2021</v>
      </c>
      <c r="B766" s="9" t="s">
        <v>22</v>
      </c>
      <c r="C766" s="9" t="s">
        <v>16</v>
      </c>
      <c r="D766" s="9" t="s">
        <v>85</v>
      </c>
      <c r="E766" s="9" t="s">
        <v>228</v>
      </c>
      <c r="F766" s="10">
        <v>814604</v>
      </c>
      <c r="G766" s="10">
        <v>911</v>
      </c>
      <c r="H766" s="11">
        <v>105</v>
      </c>
      <c r="I766" s="3"/>
    </row>
    <row r="767" spans="1:9" s="4" customFormat="1" x14ac:dyDescent="0.5">
      <c r="A767" s="8">
        <v>2021</v>
      </c>
      <c r="B767" s="9" t="s">
        <v>21</v>
      </c>
      <c r="C767" s="9" t="s">
        <v>9</v>
      </c>
      <c r="D767" s="9" t="s">
        <v>103</v>
      </c>
      <c r="E767" s="9" t="s">
        <v>228</v>
      </c>
      <c r="F767" s="10">
        <v>815624.32</v>
      </c>
      <c r="G767" s="10">
        <v>86</v>
      </c>
      <c r="H767" s="11">
        <v>232</v>
      </c>
      <c r="I767" s="3"/>
    </row>
    <row r="768" spans="1:9" s="4" customFormat="1" x14ac:dyDescent="0.5">
      <c r="A768" s="8">
        <v>2021</v>
      </c>
      <c r="B768" s="9" t="s">
        <v>26</v>
      </c>
      <c r="C768" s="9" t="s">
        <v>8</v>
      </c>
      <c r="D768" s="9" t="s">
        <v>115</v>
      </c>
      <c r="E768" s="9" t="s">
        <v>232</v>
      </c>
      <c r="F768" s="10">
        <v>816850.72</v>
      </c>
      <c r="G768" s="10">
        <v>590</v>
      </c>
      <c r="H768" s="11">
        <v>268</v>
      </c>
      <c r="I768" s="3"/>
    </row>
    <row r="769" spans="1:9" s="4" customFormat="1" x14ac:dyDescent="0.5">
      <c r="A769" s="8">
        <v>2021</v>
      </c>
      <c r="B769" s="9" t="s">
        <v>27</v>
      </c>
      <c r="C769" s="9" t="s">
        <v>9</v>
      </c>
      <c r="D769" s="9" t="s">
        <v>163</v>
      </c>
      <c r="E769" s="9" t="s">
        <v>232</v>
      </c>
      <c r="F769" s="10">
        <v>819636.16</v>
      </c>
      <c r="G769" s="10">
        <v>810</v>
      </c>
      <c r="H769" s="11">
        <v>657</v>
      </c>
      <c r="I769" s="3"/>
    </row>
    <row r="770" spans="1:9" s="4" customFormat="1" x14ac:dyDescent="0.5">
      <c r="A770" s="8">
        <v>2021</v>
      </c>
      <c r="B770" s="9" t="s">
        <v>21</v>
      </c>
      <c r="C770" s="9" t="s">
        <v>15</v>
      </c>
      <c r="D770" s="9" t="s">
        <v>173</v>
      </c>
      <c r="E770" s="9" t="s">
        <v>231</v>
      </c>
      <c r="F770" s="10">
        <v>819636.16</v>
      </c>
      <c r="G770" s="10">
        <v>166</v>
      </c>
      <c r="H770" s="11">
        <v>934</v>
      </c>
      <c r="I770" s="3"/>
    </row>
    <row r="771" spans="1:9" s="4" customFormat="1" x14ac:dyDescent="0.5">
      <c r="A771" s="8">
        <v>2021</v>
      </c>
      <c r="B771" s="9" t="s">
        <v>27</v>
      </c>
      <c r="C771" s="9" t="s">
        <v>8</v>
      </c>
      <c r="D771" s="9" t="s">
        <v>215</v>
      </c>
      <c r="E771" s="9" t="s">
        <v>233</v>
      </c>
      <c r="F771" s="10">
        <v>828244.47999999998</v>
      </c>
      <c r="G771" s="10">
        <v>342</v>
      </c>
      <c r="H771" s="11">
        <v>968</v>
      </c>
      <c r="I771" s="3"/>
    </row>
    <row r="772" spans="1:9" s="4" customFormat="1" x14ac:dyDescent="0.5">
      <c r="A772" s="8">
        <v>2021</v>
      </c>
      <c r="B772" s="9" t="s">
        <v>21</v>
      </c>
      <c r="C772" s="9" t="s">
        <v>15</v>
      </c>
      <c r="D772" s="9" t="s">
        <v>104</v>
      </c>
      <c r="E772" s="9" t="s">
        <v>229</v>
      </c>
      <c r="F772" s="10">
        <v>836894.24</v>
      </c>
      <c r="G772" s="10">
        <v>232</v>
      </c>
      <c r="H772" s="11">
        <v>351</v>
      </c>
      <c r="I772" s="3"/>
    </row>
    <row r="773" spans="1:9" s="4" customFormat="1" x14ac:dyDescent="0.5">
      <c r="A773" s="8">
        <v>2021</v>
      </c>
      <c r="B773" s="9" t="s">
        <v>24</v>
      </c>
      <c r="C773" s="9" t="s">
        <v>15</v>
      </c>
      <c r="D773" s="9" t="s">
        <v>58</v>
      </c>
      <c r="E773" s="9" t="s">
        <v>229</v>
      </c>
      <c r="F773" s="10">
        <v>861855.67999999993</v>
      </c>
      <c r="G773" s="10">
        <v>873</v>
      </c>
      <c r="H773" s="11">
        <v>287</v>
      </c>
      <c r="I773" s="3"/>
    </row>
    <row r="774" spans="1:9" s="4" customFormat="1" x14ac:dyDescent="0.5">
      <c r="A774" s="8">
        <v>2021</v>
      </c>
      <c r="B774" s="9" t="s">
        <v>26</v>
      </c>
      <c r="C774" s="9" t="s">
        <v>9</v>
      </c>
      <c r="D774" s="9" t="s">
        <v>88</v>
      </c>
      <c r="E774" s="9" t="s">
        <v>229</v>
      </c>
      <c r="F774" s="10">
        <v>862660</v>
      </c>
      <c r="G774" s="10">
        <v>105</v>
      </c>
      <c r="H774" s="11">
        <v>924</v>
      </c>
      <c r="I774" s="3"/>
    </row>
    <row r="775" spans="1:9" s="4" customFormat="1" x14ac:dyDescent="0.5">
      <c r="A775" s="8">
        <v>2021</v>
      </c>
      <c r="B775" s="9" t="s">
        <v>21</v>
      </c>
      <c r="C775" s="9" t="s">
        <v>15</v>
      </c>
      <c r="D775" s="9" t="s">
        <v>122</v>
      </c>
      <c r="E775" s="9" t="s">
        <v>231</v>
      </c>
      <c r="F775" s="10">
        <v>883137.92</v>
      </c>
      <c r="G775" s="10">
        <v>166</v>
      </c>
      <c r="H775" s="11">
        <v>934</v>
      </c>
      <c r="I775" s="3"/>
    </row>
    <row r="776" spans="1:9" s="4" customFormat="1" x14ac:dyDescent="0.5">
      <c r="A776" s="8">
        <v>2021</v>
      </c>
      <c r="B776" s="9" t="s">
        <v>25</v>
      </c>
      <c r="C776" s="9" t="s">
        <v>12</v>
      </c>
      <c r="D776" s="9" t="s">
        <v>89</v>
      </c>
      <c r="E776" s="9" t="s">
        <v>235</v>
      </c>
      <c r="F776" s="10">
        <v>893809</v>
      </c>
      <c r="G776" s="10">
        <v>851</v>
      </c>
      <c r="H776" s="11">
        <v>162</v>
      </c>
      <c r="I776" s="3"/>
    </row>
    <row r="777" spans="1:9" s="4" customFormat="1" x14ac:dyDescent="0.5">
      <c r="A777" s="8">
        <v>2021</v>
      </c>
      <c r="B777" s="9" t="s">
        <v>23</v>
      </c>
      <c r="C777" s="9" t="s">
        <v>15</v>
      </c>
      <c r="D777" s="9" t="s">
        <v>131</v>
      </c>
      <c r="E777" s="9" t="s">
        <v>231</v>
      </c>
      <c r="F777" s="10">
        <v>907698.4</v>
      </c>
      <c r="G777" s="10">
        <v>849</v>
      </c>
      <c r="H777" s="11">
        <v>156</v>
      </c>
      <c r="I777" s="3"/>
    </row>
    <row r="778" spans="1:9" s="4" customFormat="1" x14ac:dyDescent="0.5">
      <c r="A778" s="8">
        <v>2021</v>
      </c>
      <c r="B778" s="9" t="s">
        <v>25</v>
      </c>
      <c r="C778" s="9" t="s">
        <v>9</v>
      </c>
      <c r="D778" s="9" t="s">
        <v>107</v>
      </c>
      <c r="E778" s="9" t="s">
        <v>231</v>
      </c>
      <c r="F778" s="10">
        <v>911080.8</v>
      </c>
      <c r="G778" s="10">
        <v>601</v>
      </c>
      <c r="H778" s="11">
        <v>413</v>
      </c>
      <c r="I778" s="3"/>
    </row>
    <row r="779" spans="1:9" s="4" customFormat="1" x14ac:dyDescent="0.5">
      <c r="A779" s="8">
        <v>2021</v>
      </c>
      <c r="B779" s="9" t="s">
        <v>21</v>
      </c>
      <c r="C779" s="9" t="s">
        <v>11</v>
      </c>
      <c r="D779" s="9" t="s">
        <v>51</v>
      </c>
      <c r="E779" s="9" t="s">
        <v>235</v>
      </c>
      <c r="F779" s="10">
        <v>917449</v>
      </c>
      <c r="G779" s="10">
        <v>249</v>
      </c>
      <c r="H779" s="11">
        <v>975</v>
      </c>
      <c r="I779" s="3"/>
    </row>
    <row r="780" spans="1:9" s="4" customFormat="1" x14ac:dyDescent="0.5">
      <c r="A780" s="8">
        <v>2021</v>
      </c>
      <c r="B780" s="9" t="s">
        <v>21</v>
      </c>
      <c r="C780" s="9" t="s">
        <v>15</v>
      </c>
      <c r="D780" s="9" t="s">
        <v>124</v>
      </c>
      <c r="E780" s="9" t="s">
        <v>236</v>
      </c>
      <c r="F780" s="10">
        <v>920759</v>
      </c>
      <c r="G780" s="10">
        <v>166</v>
      </c>
      <c r="H780" s="11">
        <v>934</v>
      </c>
      <c r="I780" s="3"/>
    </row>
    <row r="781" spans="1:9" s="4" customFormat="1" x14ac:dyDescent="0.5">
      <c r="A781" s="8">
        <v>2021</v>
      </c>
      <c r="B781" s="9" t="s">
        <v>27</v>
      </c>
      <c r="C781" s="9" t="s">
        <v>9</v>
      </c>
      <c r="D781" s="9" t="s">
        <v>199</v>
      </c>
      <c r="E781" s="9" t="s">
        <v>232</v>
      </c>
      <c r="F781" s="10">
        <v>925289.12</v>
      </c>
      <c r="G781" s="10">
        <v>810</v>
      </c>
      <c r="H781" s="11">
        <v>657</v>
      </c>
      <c r="I781" s="3"/>
    </row>
    <row r="782" spans="1:9" s="4" customFormat="1" x14ac:dyDescent="0.5">
      <c r="A782" s="8">
        <v>2021</v>
      </c>
      <c r="B782" s="9" t="s">
        <v>27</v>
      </c>
      <c r="C782" s="9" t="s">
        <v>9</v>
      </c>
      <c r="D782" s="9" t="s">
        <v>101</v>
      </c>
      <c r="E782" s="9" t="s">
        <v>229</v>
      </c>
      <c r="F782" s="10">
        <v>928877.6</v>
      </c>
      <c r="G782" s="10">
        <v>962</v>
      </c>
      <c r="H782" s="11">
        <v>28</v>
      </c>
      <c r="I782" s="3"/>
    </row>
    <row r="783" spans="1:9" s="4" customFormat="1" x14ac:dyDescent="0.5">
      <c r="A783" s="8">
        <v>2021</v>
      </c>
      <c r="B783" s="9" t="s">
        <v>23</v>
      </c>
      <c r="C783" s="9" t="s">
        <v>15</v>
      </c>
      <c r="D783" s="9" t="s">
        <v>126</v>
      </c>
      <c r="E783" s="9" t="s">
        <v>233</v>
      </c>
      <c r="F783" s="10">
        <v>937183.52</v>
      </c>
      <c r="G783" s="10">
        <v>499</v>
      </c>
      <c r="H783" s="11">
        <v>568</v>
      </c>
      <c r="I783" s="3"/>
    </row>
    <row r="784" spans="1:9" s="4" customFormat="1" x14ac:dyDescent="0.5">
      <c r="A784" s="8">
        <v>2021</v>
      </c>
      <c r="B784" s="9" t="s">
        <v>23</v>
      </c>
      <c r="C784" s="9" t="s">
        <v>15</v>
      </c>
      <c r="D784" s="9" t="s">
        <v>112</v>
      </c>
      <c r="E784" s="9" t="s">
        <v>233</v>
      </c>
      <c r="F784" s="10">
        <v>949329.92000000004</v>
      </c>
      <c r="G784" s="10">
        <v>499</v>
      </c>
      <c r="H784" s="11">
        <v>568</v>
      </c>
      <c r="I784" s="3"/>
    </row>
    <row r="785" spans="1:9" s="4" customFormat="1" x14ac:dyDescent="0.5">
      <c r="A785" s="8">
        <v>2021</v>
      </c>
      <c r="B785" s="9" t="s">
        <v>25</v>
      </c>
      <c r="C785" s="9" t="s">
        <v>9</v>
      </c>
      <c r="D785" s="9" t="s">
        <v>220</v>
      </c>
      <c r="E785" s="9" t="s">
        <v>231</v>
      </c>
      <c r="F785" s="10">
        <v>951972</v>
      </c>
      <c r="G785" s="10">
        <v>601</v>
      </c>
      <c r="H785" s="11">
        <v>413</v>
      </c>
      <c r="I785" s="3"/>
    </row>
    <row r="786" spans="1:9" s="4" customFormat="1" x14ac:dyDescent="0.5">
      <c r="A786" s="8">
        <v>2021</v>
      </c>
      <c r="B786" s="9" t="s">
        <v>24</v>
      </c>
      <c r="C786" s="9" t="s">
        <v>15</v>
      </c>
      <c r="D786" s="9" t="s">
        <v>99</v>
      </c>
      <c r="E786" s="9" t="s">
        <v>229</v>
      </c>
      <c r="F786" s="10">
        <v>954561.44</v>
      </c>
      <c r="G786" s="10">
        <v>873</v>
      </c>
      <c r="H786" s="11">
        <v>287</v>
      </c>
      <c r="I786" s="3"/>
    </row>
    <row r="787" spans="1:9" s="4" customFormat="1" x14ac:dyDescent="0.5">
      <c r="A787" s="8">
        <v>2021</v>
      </c>
      <c r="B787" s="9" t="s">
        <v>25</v>
      </c>
      <c r="C787" s="9" t="s">
        <v>12</v>
      </c>
      <c r="D787" s="9" t="s">
        <v>227</v>
      </c>
      <c r="E787" s="9" t="s">
        <v>233</v>
      </c>
      <c r="F787" s="10">
        <v>955550</v>
      </c>
      <c r="G787" s="10">
        <v>851</v>
      </c>
      <c r="H787" s="11">
        <v>162</v>
      </c>
      <c r="I787" s="3"/>
    </row>
    <row r="788" spans="1:9" s="4" customFormat="1" x14ac:dyDescent="0.5">
      <c r="A788" s="8">
        <v>2021</v>
      </c>
      <c r="B788" s="9" t="s">
        <v>25</v>
      </c>
      <c r="C788" s="9" t="s">
        <v>12</v>
      </c>
      <c r="D788" s="9" t="s">
        <v>192</v>
      </c>
      <c r="E788" s="9" t="s">
        <v>232</v>
      </c>
      <c r="F788" s="10">
        <v>966179.2</v>
      </c>
      <c r="G788" s="10">
        <v>851</v>
      </c>
      <c r="H788" s="11">
        <v>162</v>
      </c>
      <c r="I788" s="3"/>
    </row>
    <row r="789" spans="1:9" s="4" customFormat="1" x14ac:dyDescent="0.5">
      <c r="A789" s="8">
        <v>2021</v>
      </c>
      <c r="B789" s="9" t="s">
        <v>21</v>
      </c>
      <c r="C789" s="9" t="s">
        <v>10</v>
      </c>
      <c r="D789" s="9" t="s">
        <v>135</v>
      </c>
      <c r="E789" s="9" t="s">
        <v>229</v>
      </c>
      <c r="F789" s="10">
        <v>972447.84</v>
      </c>
      <c r="G789" s="10">
        <v>975</v>
      </c>
      <c r="H789" s="11">
        <v>282</v>
      </c>
      <c r="I789" s="3"/>
    </row>
    <row r="790" spans="1:9" s="4" customFormat="1" x14ac:dyDescent="0.5">
      <c r="A790" s="8">
        <v>2021</v>
      </c>
      <c r="B790" s="9" t="s">
        <v>23</v>
      </c>
      <c r="C790" s="9" t="s">
        <v>9</v>
      </c>
      <c r="D790" s="9" t="s">
        <v>219</v>
      </c>
      <c r="E790" s="9" t="s">
        <v>235</v>
      </c>
      <c r="F790" s="10">
        <v>972776</v>
      </c>
      <c r="G790" s="10">
        <v>351</v>
      </c>
      <c r="H790" s="11">
        <v>918</v>
      </c>
      <c r="I790" s="3"/>
    </row>
    <row r="791" spans="1:9" s="4" customFormat="1" x14ac:dyDescent="0.5">
      <c r="A791" s="8">
        <v>2021</v>
      </c>
      <c r="B791" s="9" t="s">
        <v>22</v>
      </c>
      <c r="C791" s="9" t="s">
        <v>9</v>
      </c>
      <c r="D791" s="9" t="s">
        <v>134</v>
      </c>
      <c r="E791" s="9" t="s">
        <v>228</v>
      </c>
      <c r="F791" s="10">
        <v>972776</v>
      </c>
      <c r="G791" s="10">
        <v>573</v>
      </c>
      <c r="H791" s="11">
        <v>784</v>
      </c>
      <c r="I791" s="3"/>
    </row>
    <row r="792" spans="1:9" s="4" customFormat="1" x14ac:dyDescent="0.5">
      <c r="A792" s="8">
        <v>2021</v>
      </c>
      <c r="B792" s="9" t="s">
        <v>23</v>
      </c>
      <c r="C792" s="9" t="s">
        <v>15</v>
      </c>
      <c r="D792" s="9" t="s">
        <v>181</v>
      </c>
      <c r="E792" s="9" t="s">
        <v>231</v>
      </c>
      <c r="F792" s="10">
        <v>975331</v>
      </c>
      <c r="G792" s="10">
        <v>849</v>
      </c>
      <c r="H792" s="11">
        <v>156</v>
      </c>
      <c r="I792" s="3"/>
    </row>
    <row r="793" spans="1:9" s="4" customFormat="1" x14ac:dyDescent="0.5">
      <c r="A793" s="8">
        <v>2021</v>
      </c>
      <c r="B793" s="9" t="s">
        <v>22</v>
      </c>
      <c r="C793" s="9" t="s">
        <v>16</v>
      </c>
      <c r="D793" s="9" t="s">
        <v>133</v>
      </c>
      <c r="E793" s="9" t="s">
        <v>231</v>
      </c>
      <c r="F793" s="10">
        <v>979711.89119999995</v>
      </c>
      <c r="G793" s="10">
        <v>911</v>
      </c>
      <c r="H793" s="11">
        <v>105</v>
      </c>
      <c r="I793" s="3"/>
    </row>
    <row r="794" spans="1:9" s="4" customFormat="1" x14ac:dyDescent="0.5">
      <c r="A794" s="8">
        <v>2021</v>
      </c>
      <c r="B794" s="9" t="s">
        <v>23</v>
      </c>
      <c r="C794" s="9" t="s">
        <v>16</v>
      </c>
      <c r="D794" s="9" t="s">
        <v>81</v>
      </c>
      <c r="E794" s="9" t="s">
        <v>236</v>
      </c>
      <c r="F794" s="10">
        <v>987995.67999999993</v>
      </c>
      <c r="G794" s="10">
        <v>98</v>
      </c>
      <c r="H794" s="11">
        <v>968</v>
      </c>
      <c r="I794" s="3"/>
    </row>
    <row r="795" spans="1:9" s="4" customFormat="1" x14ac:dyDescent="0.5">
      <c r="A795" s="8">
        <v>2021</v>
      </c>
      <c r="B795" s="9" t="s">
        <v>25</v>
      </c>
      <c r="C795" s="9" t="s">
        <v>17</v>
      </c>
      <c r="D795" s="9" t="s">
        <v>83</v>
      </c>
      <c r="E795" s="9" t="s">
        <v>233</v>
      </c>
      <c r="F795" s="10">
        <v>1001880.32</v>
      </c>
      <c r="G795" s="10">
        <v>479</v>
      </c>
      <c r="H795" s="11">
        <v>934</v>
      </c>
      <c r="I795" s="3"/>
    </row>
    <row r="796" spans="1:9" s="4" customFormat="1" x14ac:dyDescent="0.5">
      <c r="A796" s="8">
        <v>2021</v>
      </c>
      <c r="B796" s="9" t="s">
        <v>20</v>
      </c>
      <c r="C796" s="9" t="s">
        <v>8</v>
      </c>
      <c r="D796" s="9" t="s">
        <v>208</v>
      </c>
      <c r="E796" s="9" t="s">
        <v>228</v>
      </c>
      <c r="F796" s="10">
        <v>1019351.2</v>
      </c>
      <c r="G796" s="10">
        <v>386</v>
      </c>
      <c r="H796" s="11">
        <v>287</v>
      </c>
      <c r="I796" s="3"/>
    </row>
    <row r="797" spans="1:9" s="4" customFormat="1" x14ac:dyDescent="0.5">
      <c r="A797" s="8">
        <v>2021</v>
      </c>
      <c r="B797" s="9" t="s">
        <v>21</v>
      </c>
      <c r="C797" s="9" t="s">
        <v>15</v>
      </c>
      <c r="D797" s="9" t="s">
        <v>94</v>
      </c>
      <c r="E797" s="9" t="s">
        <v>229</v>
      </c>
      <c r="F797" s="10">
        <v>1029721.28</v>
      </c>
      <c r="G797" s="10">
        <v>232</v>
      </c>
      <c r="H797" s="11">
        <v>351</v>
      </c>
      <c r="I797" s="3"/>
    </row>
    <row r="798" spans="1:9" s="4" customFormat="1" x14ac:dyDescent="0.5">
      <c r="A798" s="8">
        <v>2021</v>
      </c>
      <c r="B798" s="9" t="s">
        <v>25</v>
      </c>
      <c r="C798" s="9" t="s">
        <v>8</v>
      </c>
      <c r="D798" s="9" t="s">
        <v>212</v>
      </c>
      <c r="E798" s="9" t="s">
        <v>232</v>
      </c>
      <c r="F798" s="10">
        <v>1031250.08</v>
      </c>
      <c r="G798" s="10">
        <v>616</v>
      </c>
      <c r="H798" s="11">
        <v>398</v>
      </c>
      <c r="I798" s="3"/>
    </row>
    <row r="799" spans="1:9" s="4" customFormat="1" x14ac:dyDescent="0.5">
      <c r="A799" s="8">
        <v>2021</v>
      </c>
      <c r="B799" s="9" t="s">
        <v>21</v>
      </c>
      <c r="C799" s="9" t="s">
        <v>13</v>
      </c>
      <c r="D799" s="9" t="s">
        <v>166</v>
      </c>
      <c r="E799" s="9" t="s">
        <v>232</v>
      </c>
      <c r="F799" s="10">
        <v>1032643.36</v>
      </c>
      <c r="G799" s="10">
        <v>61</v>
      </c>
      <c r="H799" s="11">
        <v>28</v>
      </c>
      <c r="I799" s="3"/>
    </row>
    <row r="800" spans="1:9" s="4" customFormat="1" x14ac:dyDescent="0.5">
      <c r="A800" s="8">
        <v>2021</v>
      </c>
      <c r="B800" s="9" t="s">
        <v>18</v>
      </c>
      <c r="C800" s="9" t="s">
        <v>8</v>
      </c>
      <c r="D800" s="9" t="s">
        <v>204</v>
      </c>
      <c r="E800" s="9" t="s">
        <v>231</v>
      </c>
      <c r="F800" s="10">
        <v>1053598.56</v>
      </c>
      <c r="G800" s="10">
        <v>256</v>
      </c>
      <c r="H800" s="11">
        <v>839</v>
      </c>
      <c r="I800" s="3"/>
    </row>
    <row r="801" spans="1:9" s="4" customFormat="1" x14ac:dyDescent="0.5">
      <c r="A801" s="8">
        <v>2021</v>
      </c>
      <c r="B801" s="9" t="s">
        <v>22</v>
      </c>
      <c r="C801" s="9" t="s">
        <v>14</v>
      </c>
      <c r="D801" s="9" t="s">
        <v>139</v>
      </c>
      <c r="E801" s="9" t="s">
        <v>232</v>
      </c>
      <c r="F801" s="10">
        <v>1055253.92</v>
      </c>
      <c r="G801" s="10">
        <v>843</v>
      </c>
      <c r="H801" s="11">
        <v>839</v>
      </c>
      <c r="I801" s="3"/>
    </row>
    <row r="802" spans="1:9" s="4" customFormat="1" x14ac:dyDescent="0.5">
      <c r="A802" s="8">
        <v>2021</v>
      </c>
      <c r="B802" s="9" t="s">
        <v>19</v>
      </c>
      <c r="C802" s="9" t="s">
        <v>16</v>
      </c>
      <c r="D802" s="9" t="s">
        <v>194</v>
      </c>
      <c r="E802" s="9" t="s">
        <v>235</v>
      </c>
      <c r="F802" s="10">
        <v>1092711.2</v>
      </c>
      <c r="G802" s="10">
        <v>268</v>
      </c>
      <c r="H802" s="11">
        <v>118</v>
      </c>
      <c r="I802" s="3"/>
    </row>
    <row r="803" spans="1:9" s="4" customFormat="1" x14ac:dyDescent="0.5">
      <c r="A803" s="8">
        <v>2021</v>
      </c>
      <c r="B803" s="9" t="s">
        <v>18</v>
      </c>
      <c r="C803" s="9" t="s">
        <v>8</v>
      </c>
      <c r="D803" s="9" t="s">
        <v>196</v>
      </c>
      <c r="E803" s="9" t="s">
        <v>231</v>
      </c>
      <c r="F803" s="10">
        <v>1102130.3999999999</v>
      </c>
      <c r="G803" s="10">
        <v>256</v>
      </c>
      <c r="H803" s="11">
        <v>839</v>
      </c>
      <c r="I803" s="3"/>
    </row>
    <row r="804" spans="1:9" s="4" customFormat="1" x14ac:dyDescent="0.5">
      <c r="A804" s="8">
        <v>2021</v>
      </c>
      <c r="B804" s="9" t="s">
        <v>23</v>
      </c>
      <c r="C804" s="9" t="s">
        <v>9</v>
      </c>
      <c r="D804" s="9" t="s">
        <v>206</v>
      </c>
      <c r="E804" s="9" t="s">
        <v>235</v>
      </c>
      <c r="F804" s="10">
        <v>1109916.6399999999</v>
      </c>
      <c r="G804" s="10">
        <v>351</v>
      </c>
      <c r="H804" s="11">
        <v>918</v>
      </c>
      <c r="I804" s="3"/>
    </row>
    <row r="805" spans="1:9" s="4" customFormat="1" x14ac:dyDescent="0.5">
      <c r="A805" s="8">
        <v>2021</v>
      </c>
      <c r="B805" s="9" t="s">
        <v>24</v>
      </c>
      <c r="C805" s="9" t="s">
        <v>13</v>
      </c>
      <c r="D805" s="9" t="s">
        <v>100</v>
      </c>
      <c r="E805" s="9" t="s">
        <v>235</v>
      </c>
      <c r="F805" s="10">
        <v>1115106.72</v>
      </c>
      <c r="G805" s="10">
        <v>591</v>
      </c>
      <c r="H805" s="11">
        <v>810</v>
      </c>
      <c r="I805" s="3"/>
    </row>
    <row r="806" spans="1:9" s="4" customFormat="1" x14ac:dyDescent="0.5">
      <c r="A806" s="12">
        <f>SUBTOTAL(103,Table1[Year])</f>
        <v>804</v>
      </c>
      <c r="B806" s="13"/>
      <c r="C806" s="13"/>
      <c r="D806" s="13"/>
      <c r="E806" s="13"/>
      <c r="F806" s="14">
        <f>SUBTOTAL(109,Table1[Amount])</f>
        <v>476884225.97747302</v>
      </c>
      <c r="G806" s="14">
        <f>SUBTOTAL(109,Table1[Offers])</f>
        <v>463456</v>
      </c>
      <c r="H806" s="15">
        <f>SUBTOTAL(109,Table1[Orders])</f>
        <v>448732</v>
      </c>
      <c r="I806" s="3"/>
    </row>
    <row r="807" spans="1:9" s="4" customFormat="1" x14ac:dyDescent="0.5">
      <c r="A807" s="1"/>
      <c r="B807" s="1"/>
      <c r="C807" s="1"/>
      <c r="D807" s="1"/>
      <c r="E807" s="3"/>
      <c r="F807" s="1"/>
      <c r="G807" s="1"/>
      <c r="H807" s="3"/>
      <c r="I807" s="3"/>
    </row>
    <row r="808" spans="1:9" s="4" customFormat="1" x14ac:dyDescent="0.5">
      <c r="A808" s="1"/>
      <c r="B808" s="1"/>
      <c r="C808" s="1"/>
      <c r="D808" s="1"/>
      <c r="E808" s="3"/>
      <c r="F808" s="1"/>
      <c r="G808" s="1"/>
      <c r="H808" s="3"/>
      <c r="I808" s="3"/>
    </row>
    <row r="809" spans="1:9" s="4" customFormat="1" x14ac:dyDescent="0.5">
      <c r="A809" s="1"/>
      <c r="B809" s="1"/>
      <c r="C809" s="1"/>
      <c r="D809" s="1"/>
      <c r="E809" s="3"/>
      <c r="F809" s="1"/>
      <c r="G809" s="1"/>
      <c r="H809" s="3"/>
      <c r="I809" s="3"/>
    </row>
    <row r="810" spans="1:9" s="4" customFormat="1" x14ac:dyDescent="0.5">
      <c r="A810" s="1"/>
      <c r="B810" s="1"/>
      <c r="C810" s="1"/>
      <c r="D810" s="1"/>
      <c r="E810" s="3"/>
      <c r="F810" s="1"/>
      <c r="G810" s="1"/>
      <c r="H810" s="3"/>
      <c r="I810" s="3"/>
    </row>
    <row r="811" spans="1:9" s="4" customFormat="1" x14ac:dyDescent="0.5">
      <c r="A811" s="1"/>
      <c r="B811" s="1"/>
      <c r="C811" s="1"/>
      <c r="D811" s="1"/>
      <c r="E811" s="3"/>
      <c r="F811" s="1"/>
      <c r="G811" s="1"/>
      <c r="H811" s="3"/>
      <c r="I811" s="3"/>
    </row>
  </sheetData>
  <sheetProtection formatCells="0" formatColumns="0" formatRows="0" insertColumns="0" insertRows="0" insertHyperlinks="0" deleteColumns="0" deleteRows="0" selectLockedCells="1" sort="0" autoFilter="0" pivotTables="0"/>
  <phoneticPr fontId="1" type="noConversion"/>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BEAF0-94BF-4716-9F70-7A2AEEDFE368}">
  <dimension ref="A1"/>
  <sheetViews>
    <sheetView workbookViewId="0">
      <selection activeCell="T65" sqref="T65"/>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D5ED7-137A-4B5C-A09B-154E27BF9F51}">
  <dimension ref="A1:AA172"/>
  <sheetViews>
    <sheetView showGridLines="0" showRowColHeaders="0" tabSelected="1" zoomScaleNormal="100" workbookViewId="0">
      <selection activeCell="D2" sqref="D2:R4"/>
    </sheetView>
  </sheetViews>
  <sheetFormatPr defaultRowHeight="14.4" x14ac:dyDescent="0.3"/>
  <sheetData>
    <row r="1" spans="1:25" x14ac:dyDescent="0.3">
      <c r="A1" s="22"/>
      <c r="B1" s="22"/>
      <c r="C1" s="22"/>
      <c r="D1" s="22"/>
      <c r="E1" s="22"/>
      <c r="F1" s="22"/>
      <c r="G1" s="22"/>
      <c r="H1" s="22"/>
      <c r="I1" s="22"/>
      <c r="J1" s="22"/>
      <c r="K1" s="22"/>
      <c r="L1" s="22"/>
      <c r="M1" s="22"/>
      <c r="N1" s="22"/>
      <c r="O1" s="22"/>
      <c r="P1" s="22"/>
      <c r="Q1" s="22"/>
      <c r="R1" s="22"/>
      <c r="S1" s="22"/>
      <c r="T1" s="22"/>
      <c r="U1" s="22"/>
      <c r="V1" s="22"/>
      <c r="W1" s="22"/>
      <c r="X1" s="22"/>
    </row>
    <row r="2" spans="1:25" x14ac:dyDescent="0.3">
      <c r="A2" s="22"/>
      <c r="B2" s="22"/>
      <c r="C2" s="22"/>
      <c r="D2" s="24" t="s">
        <v>254</v>
      </c>
      <c r="E2" s="25"/>
      <c r="F2" s="25"/>
      <c r="G2" s="25"/>
      <c r="H2" s="25"/>
      <c r="I2" s="25"/>
      <c r="J2" s="25"/>
      <c r="K2" s="25"/>
      <c r="L2" s="25"/>
      <c r="M2" s="25"/>
      <c r="N2" s="25"/>
      <c r="O2" s="25"/>
      <c r="P2" s="25"/>
      <c r="Q2" s="25"/>
      <c r="R2" s="25"/>
      <c r="S2" s="22"/>
      <c r="T2" s="22"/>
      <c r="U2" s="22"/>
      <c r="V2" s="22"/>
      <c r="W2" s="22"/>
      <c r="X2" s="22"/>
      <c r="Y2" s="22"/>
    </row>
    <row r="3" spans="1:25" x14ac:dyDescent="0.3">
      <c r="A3" s="22"/>
      <c r="B3" s="22"/>
      <c r="C3" s="22" t="s">
        <v>253</v>
      </c>
      <c r="D3" s="25"/>
      <c r="E3" s="25"/>
      <c r="F3" s="25"/>
      <c r="G3" s="25"/>
      <c r="H3" s="25"/>
      <c r="I3" s="25"/>
      <c r="J3" s="25"/>
      <c r="K3" s="25"/>
      <c r="L3" s="25"/>
      <c r="M3" s="25"/>
      <c r="N3" s="25"/>
      <c r="O3" s="25"/>
      <c r="P3" s="25"/>
      <c r="Q3" s="25"/>
      <c r="R3" s="25"/>
      <c r="S3" s="22"/>
      <c r="T3" s="22"/>
      <c r="U3" s="22"/>
      <c r="V3" s="22"/>
      <c r="W3" s="22"/>
      <c r="X3" s="22"/>
      <c r="Y3" s="22"/>
    </row>
    <row r="4" spans="1:25" ht="36.6" customHeight="1" x14ac:dyDescent="0.3">
      <c r="A4" s="22"/>
      <c r="B4" s="22"/>
      <c r="C4" s="22"/>
      <c r="D4" s="25"/>
      <c r="E4" s="25"/>
      <c r="F4" s="25"/>
      <c r="G4" s="25"/>
      <c r="H4" s="25"/>
      <c r="I4" s="25"/>
      <c r="J4" s="25"/>
      <c r="K4" s="25"/>
      <c r="L4" s="25"/>
      <c r="M4" s="25"/>
      <c r="N4" s="25"/>
      <c r="O4" s="25"/>
      <c r="P4" s="25"/>
      <c r="Q4" s="25"/>
      <c r="R4" s="25"/>
      <c r="S4" s="22"/>
      <c r="T4" s="22"/>
      <c r="U4" s="22"/>
      <c r="V4" s="22"/>
      <c r="W4" s="22"/>
      <c r="X4" s="22"/>
      <c r="Y4" s="22"/>
    </row>
    <row r="5" spans="1:25" x14ac:dyDescent="0.3">
      <c r="A5" s="22"/>
      <c r="B5" s="22"/>
      <c r="C5" s="22"/>
      <c r="D5" s="22"/>
      <c r="E5" s="22"/>
      <c r="F5" s="22"/>
      <c r="G5" s="22"/>
      <c r="H5" s="22"/>
      <c r="I5" s="22"/>
      <c r="J5" s="22"/>
      <c r="K5" s="22"/>
      <c r="L5" s="22"/>
      <c r="M5" s="22"/>
      <c r="N5" s="22"/>
      <c r="O5" s="22"/>
      <c r="P5" s="22"/>
      <c r="Q5" s="22"/>
      <c r="R5" s="22"/>
      <c r="S5" s="22"/>
      <c r="T5" s="22"/>
      <c r="U5" s="22"/>
      <c r="V5" s="22"/>
      <c r="W5" s="22"/>
      <c r="X5" s="22"/>
      <c r="Y5" s="22"/>
    </row>
    <row r="6" spans="1:25" x14ac:dyDescent="0.3">
      <c r="A6" s="22"/>
      <c r="B6" s="22"/>
      <c r="C6" s="22"/>
      <c r="D6" s="22"/>
      <c r="E6" s="22"/>
      <c r="F6" s="22"/>
      <c r="G6" s="22"/>
      <c r="H6" s="22"/>
      <c r="I6" s="22"/>
      <c r="J6" s="22"/>
      <c r="K6" s="22"/>
      <c r="L6" s="22"/>
      <c r="M6" s="22"/>
      <c r="N6" s="22"/>
      <c r="O6" s="22"/>
      <c r="P6" s="22"/>
      <c r="Q6" s="22"/>
      <c r="R6" s="22"/>
      <c r="S6" s="22"/>
      <c r="T6" s="22"/>
      <c r="U6" s="22"/>
    </row>
    <row r="7" spans="1:25" x14ac:dyDescent="0.3">
      <c r="A7" s="22"/>
      <c r="B7" s="22"/>
      <c r="C7" s="22"/>
      <c r="D7" s="22"/>
      <c r="E7" s="22"/>
      <c r="F7" s="22"/>
      <c r="G7" s="22"/>
      <c r="H7" s="22"/>
      <c r="I7" s="22"/>
      <c r="J7" s="22"/>
      <c r="K7" s="22"/>
      <c r="L7" s="22"/>
      <c r="M7" s="22"/>
      <c r="N7" s="22"/>
      <c r="O7" s="22"/>
      <c r="P7" s="22"/>
      <c r="Q7" s="22"/>
      <c r="R7" s="22"/>
      <c r="S7" s="22"/>
      <c r="T7" s="22"/>
      <c r="U7" s="22"/>
    </row>
    <row r="8" spans="1:25" x14ac:dyDescent="0.3">
      <c r="A8" s="22"/>
      <c r="B8" s="22"/>
      <c r="C8" s="22"/>
      <c r="D8" s="22"/>
      <c r="E8" s="22"/>
      <c r="F8" s="22"/>
      <c r="G8" s="22"/>
      <c r="H8" s="22"/>
      <c r="I8" s="22"/>
      <c r="J8" s="22"/>
      <c r="K8" s="22"/>
      <c r="L8" s="22"/>
      <c r="M8" s="22"/>
      <c r="N8" s="22"/>
      <c r="O8" s="22"/>
      <c r="P8" s="22"/>
      <c r="Q8" s="22"/>
      <c r="R8" s="22"/>
      <c r="S8" s="22"/>
      <c r="T8" s="22"/>
      <c r="U8" s="22"/>
    </row>
    <row r="9" spans="1:25" x14ac:dyDescent="0.3">
      <c r="A9" s="22"/>
      <c r="B9" s="22"/>
      <c r="C9" s="22"/>
      <c r="D9" s="22"/>
      <c r="E9" s="22"/>
      <c r="F9" s="22"/>
      <c r="G9" s="22"/>
      <c r="H9" s="22"/>
      <c r="I9" s="22"/>
      <c r="J9" s="22"/>
      <c r="K9" s="22"/>
      <c r="L9" s="22"/>
      <c r="M9" s="22"/>
      <c r="N9" s="22"/>
      <c r="O9" s="22"/>
      <c r="P9" s="22"/>
      <c r="Q9" s="22"/>
      <c r="R9" s="22"/>
      <c r="S9" s="22"/>
      <c r="T9" s="22"/>
      <c r="U9" s="22"/>
    </row>
    <row r="10" spans="1:25" x14ac:dyDescent="0.3">
      <c r="A10" s="22"/>
      <c r="B10" s="22"/>
      <c r="C10" s="22"/>
      <c r="D10" s="22"/>
      <c r="E10" s="23"/>
      <c r="F10" s="22"/>
      <c r="G10" s="22"/>
      <c r="H10" s="22"/>
      <c r="I10" s="22"/>
      <c r="J10" s="22"/>
      <c r="K10" s="22"/>
      <c r="L10" s="22"/>
      <c r="M10" s="22"/>
      <c r="N10" s="22"/>
      <c r="O10" s="22"/>
      <c r="P10" s="22"/>
      <c r="Q10" s="22"/>
      <c r="R10" s="22"/>
      <c r="S10" s="22"/>
      <c r="T10" s="22"/>
      <c r="U10" s="22"/>
    </row>
    <row r="11" spans="1:25" x14ac:dyDescent="0.3">
      <c r="A11" s="22"/>
      <c r="B11" s="22"/>
      <c r="C11" s="22"/>
      <c r="D11" s="22"/>
      <c r="E11" s="22"/>
      <c r="F11" s="22"/>
      <c r="G11" s="22"/>
      <c r="H11" s="22"/>
      <c r="I11" s="22"/>
      <c r="J11" s="22"/>
      <c r="K11" s="22"/>
      <c r="L11" s="22"/>
      <c r="M11" s="22"/>
      <c r="N11" s="22"/>
      <c r="O11" s="22"/>
      <c r="P11" s="22"/>
      <c r="Q11" s="22"/>
      <c r="R11" s="22"/>
      <c r="S11" s="22"/>
      <c r="T11" s="22"/>
      <c r="U11" s="22"/>
    </row>
    <row r="12" spans="1:25" x14ac:dyDescent="0.3">
      <c r="A12" s="22"/>
      <c r="B12" s="22"/>
      <c r="C12" s="22"/>
      <c r="D12" s="22"/>
      <c r="E12" s="22"/>
      <c r="F12" s="22"/>
      <c r="G12" s="22"/>
      <c r="H12" s="22"/>
      <c r="I12" s="22"/>
      <c r="J12" s="22"/>
      <c r="K12" s="22"/>
      <c r="L12" s="22"/>
      <c r="M12" s="22"/>
      <c r="N12" s="22"/>
      <c r="O12" s="22"/>
      <c r="P12" s="22"/>
      <c r="Q12" s="22"/>
      <c r="R12" s="22"/>
      <c r="S12" s="22"/>
      <c r="T12" s="22"/>
      <c r="U12" s="22"/>
    </row>
    <row r="13" spans="1:25" x14ac:dyDescent="0.3">
      <c r="A13" s="22"/>
      <c r="B13" s="22"/>
      <c r="C13" s="22"/>
      <c r="D13" s="22"/>
      <c r="E13" s="22"/>
      <c r="F13" s="22"/>
      <c r="G13" s="22"/>
      <c r="H13" s="22"/>
      <c r="I13" s="22"/>
      <c r="J13" s="22"/>
      <c r="K13" s="22"/>
      <c r="L13" s="22"/>
      <c r="M13" s="22"/>
      <c r="N13" s="22"/>
      <c r="O13" s="22"/>
      <c r="P13" s="22"/>
      <c r="Q13" s="22"/>
      <c r="R13" s="22"/>
      <c r="S13" s="22"/>
      <c r="T13" s="22"/>
      <c r="U13" s="22"/>
    </row>
    <row r="14" spans="1:25" x14ac:dyDescent="0.3">
      <c r="A14" s="22"/>
      <c r="B14" s="22"/>
      <c r="C14" s="22"/>
      <c r="D14" s="22"/>
      <c r="E14" s="22"/>
      <c r="F14" s="22"/>
      <c r="G14" s="22"/>
      <c r="H14" s="22"/>
      <c r="I14" s="22"/>
      <c r="J14" s="22"/>
      <c r="K14" s="22"/>
      <c r="L14" s="22"/>
      <c r="M14" s="22"/>
      <c r="N14" s="22"/>
      <c r="O14" s="22"/>
      <c r="P14" s="22"/>
      <c r="Q14" s="22"/>
      <c r="R14" s="22"/>
      <c r="S14" s="22"/>
      <c r="T14" s="22"/>
      <c r="U14" s="22"/>
    </row>
    <row r="15" spans="1:25" x14ac:dyDescent="0.3">
      <c r="A15" s="22"/>
      <c r="B15" s="22"/>
      <c r="C15" s="22"/>
      <c r="D15" s="22"/>
      <c r="E15" s="22"/>
      <c r="F15" s="22"/>
      <c r="G15" s="22"/>
      <c r="H15" s="22"/>
      <c r="I15" s="22"/>
      <c r="J15" s="22"/>
      <c r="K15" s="22"/>
      <c r="L15" s="22"/>
      <c r="M15" s="22"/>
      <c r="N15" s="22"/>
      <c r="O15" s="22"/>
      <c r="P15" s="22"/>
      <c r="Q15" s="22"/>
      <c r="R15" s="22"/>
      <c r="S15" s="22"/>
      <c r="T15" s="22"/>
      <c r="U15" s="22"/>
    </row>
    <row r="16" spans="1:25" x14ac:dyDescent="0.3">
      <c r="A16" s="22"/>
      <c r="B16" s="22"/>
      <c r="C16" s="22"/>
      <c r="D16" s="22"/>
      <c r="E16" s="22"/>
      <c r="F16" s="22"/>
      <c r="G16" s="22"/>
      <c r="H16" s="22"/>
      <c r="I16" s="22"/>
      <c r="J16" s="22"/>
      <c r="K16" s="22"/>
      <c r="L16" s="22"/>
      <c r="M16" s="22"/>
      <c r="N16" s="22"/>
      <c r="O16" s="22"/>
      <c r="P16" s="22"/>
      <c r="Q16" s="22"/>
      <c r="R16" s="22"/>
      <c r="S16" s="22"/>
      <c r="T16" s="22"/>
      <c r="U16" s="22"/>
    </row>
    <row r="17" spans="1:21" x14ac:dyDescent="0.3">
      <c r="A17" s="22"/>
      <c r="B17" s="22"/>
      <c r="C17" s="22"/>
      <c r="D17" s="22"/>
      <c r="E17" s="22"/>
      <c r="F17" s="22"/>
      <c r="G17" s="22"/>
      <c r="H17" s="22"/>
      <c r="I17" s="22"/>
      <c r="J17" s="22"/>
      <c r="K17" s="22"/>
      <c r="L17" s="22"/>
      <c r="M17" s="22"/>
      <c r="N17" s="22"/>
      <c r="O17" s="22"/>
      <c r="P17" s="22"/>
      <c r="Q17" s="22"/>
      <c r="R17" s="22"/>
      <c r="S17" s="22"/>
      <c r="T17" s="22"/>
      <c r="U17" s="22"/>
    </row>
    <row r="18" spans="1:21" x14ac:dyDescent="0.3">
      <c r="A18" s="22"/>
      <c r="B18" s="22"/>
      <c r="C18" s="22"/>
      <c r="D18" s="22"/>
      <c r="E18" s="22"/>
      <c r="F18" s="22"/>
      <c r="G18" s="22"/>
      <c r="H18" s="22"/>
      <c r="I18" s="22"/>
      <c r="J18" s="22"/>
      <c r="K18" s="22"/>
      <c r="L18" s="22"/>
      <c r="M18" s="22"/>
      <c r="N18" s="22"/>
      <c r="O18" s="22"/>
      <c r="P18" s="22"/>
      <c r="Q18" s="22"/>
      <c r="R18" s="22"/>
      <c r="S18" s="22"/>
      <c r="T18" s="22"/>
      <c r="U18" s="22"/>
    </row>
    <row r="19" spans="1:21" x14ac:dyDescent="0.3">
      <c r="A19" s="22"/>
      <c r="B19" s="22"/>
      <c r="C19" s="22"/>
      <c r="D19" s="22"/>
      <c r="E19" s="22"/>
      <c r="F19" s="22"/>
      <c r="G19" s="22"/>
      <c r="H19" s="22"/>
      <c r="I19" s="22"/>
      <c r="J19" s="22"/>
      <c r="K19" s="22"/>
      <c r="L19" s="22"/>
      <c r="M19" s="22"/>
      <c r="N19" s="22"/>
      <c r="O19" s="22"/>
      <c r="P19" s="22"/>
      <c r="Q19" s="22"/>
      <c r="R19" s="22"/>
      <c r="S19" s="22"/>
      <c r="T19" s="22"/>
      <c r="U19" s="22"/>
    </row>
    <row r="20" spans="1:21" x14ac:dyDescent="0.3">
      <c r="A20" s="22"/>
      <c r="B20" s="22"/>
      <c r="C20" s="22"/>
      <c r="D20" s="22"/>
      <c r="E20" s="22"/>
      <c r="F20" s="22"/>
      <c r="G20" s="22"/>
      <c r="H20" s="22"/>
      <c r="I20" s="22"/>
      <c r="J20" s="22"/>
      <c r="K20" s="22"/>
      <c r="L20" s="22"/>
      <c r="M20" s="22"/>
      <c r="N20" s="22"/>
      <c r="O20" s="22"/>
      <c r="P20" s="22"/>
      <c r="Q20" s="22"/>
      <c r="R20" s="22"/>
      <c r="S20" s="22"/>
      <c r="T20" s="22"/>
      <c r="U20" s="22"/>
    </row>
    <row r="21" spans="1:21" x14ac:dyDescent="0.3">
      <c r="A21" s="22"/>
      <c r="B21" s="22"/>
      <c r="C21" s="22"/>
      <c r="D21" s="22"/>
      <c r="E21" s="22"/>
      <c r="F21" s="22"/>
      <c r="G21" s="22"/>
      <c r="H21" s="22"/>
      <c r="I21" s="22"/>
      <c r="J21" s="22"/>
      <c r="K21" s="22"/>
      <c r="L21" s="22"/>
      <c r="M21" s="22"/>
      <c r="N21" s="22"/>
      <c r="O21" s="22"/>
      <c r="P21" s="22"/>
      <c r="Q21" s="22"/>
      <c r="R21" s="22"/>
      <c r="S21" s="22"/>
      <c r="T21" s="22"/>
      <c r="U21" s="22"/>
    </row>
    <row r="22" spans="1:21" x14ac:dyDescent="0.3">
      <c r="A22" s="22"/>
      <c r="B22" s="22"/>
      <c r="C22" s="22"/>
      <c r="D22" s="22"/>
      <c r="E22" s="22"/>
      <c r="F22" s="22"/>
      <c r="G22" s="22"/>
      <c r="H22" s="22"/>
      <c r="I22" s="22"/>
      <c r="J22" s="22"/>
      <c r="K22" s="22"/>
      <c r="L22" s="22"/>
      <c r="M22" s="22"/>
      <c r="N22" s="22"/>
      <c r="O22" s="22"/>
      <c r="P22" s="22"/>
      <c r="Q22" s="22"/>
      <c r="R22" s="22"/>
      <c r="S22" s="22"/>
      <c r="T22" s="22"/>
      <c r="U22" s="22"/>
    </row>
    <row r="23" spans="1:21" x14ac:dyDescent="0.3">
      <c r="A23" s="22"/>
      <c r="B23" s="22"/>
      <c r="C23" s="22"/>
      <c r="D23" s="22"/>
      <c r="E23" s="22"/>
      <c r="F23" s="22"/>
      <c r="G23" s="22"/>
      <c r="H23" s="22"/>
      <c r="I23" s="22"/>
      <c r="J23" s="22"/>
      <c r="K23" s="22"/>
      <c r="L23" s="22"/>
      <c r="M23" s="22"/>
      <c r="N23" s="22"/>
      <c r="O23" s="22"/>
      <c r="P23" s="22"/>
      <c r="Q23" s="22"/>
      <c r="R23" s="22"/>
      <c r="S23" s="22"/>
      <c r="T23" s="22"/>
      <c r="U23" s="22"/>
    </row>
    <row r="24" spans="1:21" x14ac:dyDescent="0.3">
      <c r="A24" s="22"/>
      <c r="B24" s="22"/>
      <c r="C24" s="22"/>
      <c r="D24" s="22"/>
      <c r="E24" s="22"/>
      <c r="F24" s="22"/>
      <c r="G24" s="22"/>
      <c r="H24" s="22"/>
      <c r="I24" s="22"/>
      <c r="J24" s="22"/>
      <c r="K24" s="22"/>
      <c r="L24" s="22"/>
      <c r="M24" s="22"/>
      <c r="N24" s="22"/>
      <c r="O24" s="22"/>
      <c r="P24" s="22"/>
      <c r="Q24" s="22"/>
      <c r="R24" s="22"/>
      <c r="S24" s="22"/>
      <c r="T24" s="22"/>
      <c r="U24" s="22"/>
    </row>
    <row r="25" spans="1:21" x14ac:dyDescent="0.3">
      <c r="A25" s="22"/>
      <c r="B25" s="22"/>
      <c r="C25" s="22"/>
      <c r="D25" s="22"/>
      <c r="E25" s="22"/>
      <c r="F25" s="22"/>
      <c r="G25" s="22"/>
      <c r="H25" s="22"/>
      <c r="I25" s="22"/>
      <c r="J25" s="22"/>
      <c r="K25" s="22"/>
      <c r="L25" s="22"/>
      <c r="M25" s="22"/>
      <c r="N25" s="22"/>
      <c r="O25" s="22"/>
      <c r="P25" s="22"/>
      <c r="Q25" s="22"/>
      <c r="R25" s="22"/>
      <c r="S25" s="22"/>
      <c r="T25" s="22"/>
      <c r="U25" s="22"/>
    </row>
    <row r="26" spans="1:21" x14ac:dyDescent="0.3">
      <c r="A26" s="22"/>
      <c r="B26" s="22"/>
      <c r="C26" s="22"/>
      <c r="D26" s="22"/>
      <c r="E26" s="22"/>
      <c r="F26" s="22"/>
      <c r="G26" s="22"/>
      <c r="H26" s="22"/>
      <c r="I26" s="22"/>
      <c r="J26" s="22"/>
      <c r="K26" s="22"/>
      <c r="L26" s="22"/>
      <c r="M26" s="22"/>
      <c r="N26" s="22"/>
      <c r="O26" s="22"/>
      <c r="P26" s="22"/>
      <c r="Q26" s="22"/>
      <c r="R26" s="22"/>
      <c r="S26" s="22"/>
      <c r="T26" s="22"/>
      <c r="U26" s="22"/>
    </row>
    <row r="27" spans="1:21" x14ac:dyDescent="0.3">
      <c r="A27" s="22"/>
      <c r="B27" s="22"/>
      <c r="C27" s="22"/>
      <c r="D27" s="22"/>
      <c r="E27" s="22"/>
      <c r="F27" s="22"/>
      <c r="G27" s="22"/>
      <c r="H27" s="22"/>
      <c r="I27" s="22"/>
      <c r="J27" s="22"/>
      <c r="K27" s="22"/>
      <c r="L27" s="22"/>
      <c r="M27" s="22"/>
      <c r="N27" s="22"/>
      <c r="O27" s="22"/>
      <c r="P27" s="22"/>
      <c r="Q27" s="22"/>
      <c r="R27" s="22"/>
      <c r="S27" s="22"/>
      <c r="T27" s="22"/>
      <c r="U27" s="22"/>
    </row>
    <row r="28" spans="1:21" x14ac:dyDescent="0.3">
      <c r="A28" s="22"/>
      <c r="B28" s="22"/>
      <c r="C28" s="22"/>
      <c r="D28" s="22"/>
      <c r="E28" s="22"/>
      <c r="F28" s="22"/>
      <c r="G28" s="22"/>
      <c r="H28" s="22"/>
      <c r="I28" s="22"/>
      <c r="J28" s="22"/>
      <c r="K28" s="22"/>
      <c r="L28" s="22"/>
      <c r="M28" s="22"/>
      <c r="N28" s="22"/>
      <c r="O28" s="22"/>
      <c r="P28" s="22"/>
      <c r="Q28" s="22"/>
      <c r="R28" s="22"/>
      <c r="S28" s="22"/>
      <c r="T28" s="22"/>
      <c r="U28" s="22"/>
    </row>
    <row r="29" spans="1:21" x14ac:dyDescent="0.3">
      <c r="A29" s="22"/>
      <c r="B29" s="22"/>
      <c r="C29" s="22"/>
      <c r="D29" s="22"/>
      <c r="E29" s="22"/>
      <c r="F29" s="22"/>
      <c r="G29" s="22"/>
      <c r="H29" s="22"/>
      <c r="I29" s="22"/>
      <c r="J29" s="22"/>
      <c r="K29" s="22"/>
      <c r="L29" s="22"/>
      <c r="M29" s="22"/>
      <c r="N29" s="22"/>
      <c r="O29" s="22"/>
      <c r="P29" s="22"/>
      <c r="Q29" s="22"/>
      <c r="R29" s="22"/>
      <c r="S29" s="22"/>
      <c r="T29" s="22"/>
      <c r="U29" s="22"/>
    </row>
    <row r="30" spans="1:21" x14ac:dyDescent="0.3">
      <c r="A30" s="22"/>
      <c r="B30" s="22"/>
      <c r="C30" s="22"/>
      <c r="D30" s="22"/>
      <c r="E30" s="22"/>
      <c r="F30" s="22"/>
      <c r="G30" s="22"/>
      <c r="H30" s="22"/>
      <c r="I30" s="22"/>
      <c r="J30" s="22"/>
      <c r="K30" s="22"/>
      <c r="L30" s="22"/>
      <c r="M30" s="22"/>
      <c r="N30" s="22"/>
      <c r="O30" s="22"/>
      <c r="P30" s="22"/>
      <c r="Q30" s="22"/>
      <c r="R30" s="22"/>
      <c r="S30" s="22"/>
      <c r="T30" s="22"/>
      <c r="U30" s="22"/>
    </row>
    <row r="31" spans="1:21" x14ac:dyDescent="0.3">
      <c r="A31" s="22"/>
      <c r="B31" s="22"/>
      <c r="C31" s="22"/>
      <c r="D31" s="22"/>
      <c r="E31" s="22"/>
      <c r="F31" s="22"/>
      <c r="G31" s="22"/>
      <c r="H31" s="22"/>
      <c r="I31" s="22"/>
      <c r="J31" s="22"/>
      <c r="K31" s="22"/>
      <c r="L31" s="22"/>
      <c r="M31" s="22"/>
      <c r="N31" s="22"/>
      <c r="O31" s="22"/>
      <c r="P31" s="22"/>
      <c r="Q31" s="22"/>
      <c r="R31" s="22"/>
      <c r="S31" s="22"/>
      <c r="T31" s="22"/>
      <c r="U31" s="22"/>
    </row>
    <row r="32" spans="1:21" x14ac:dyDescent="0.3">
      <c r="A32" s="22"/>
      <c r="B32" s="22"/>
      <c r="C32" s="22"/>
      <c r="D32" s="22"/>
      <c r="E32" s="22"/>
      <c r="F32" s="22"/>
      <c r="G32" s="22"/>
      <c r="H32" s="22"/>
      <c r="I32" s="22"/>
      <c r="J32" s="22"/>
      <c r="K32" s="22"/>
      <c r="L32" s="22"/>
      <c r="M32" s="22"/>
      <c r="N32" s="22"/>
      <c r="O32" s="22"/>
      <c r="P32" s="22"/>
      <c r="Q32" s="22"/>
      <c r="R32" s="22"/>
      <c r="S32" s="22"/>
      <c r="T32" s="22"/>
      <c r="U32" s="22"/>
    </row>
    <row r="33" spans="1:27" x14ac:dyDescent="0.3">
      <c r="A33" s="22"/>
      <c r="B33" s="22"/>
      <c r="C33" s="22"/>
      <c r="D33" s="22"/>
      <c r="E33" s="22"/>
      <c r="F33" s="22"/>
      <c r="G33" s="22"/>
      <c r="H33" s="22"/>
      <c r="I33" s="22"/>
      <c r="J33" s="22"/>
      <c r="K33" s="22"/>
      <c r="L33" s="22"/>
      <c r="M33" s="22"/>
      <c r="N33" s="22"/>
      <c r="O33" s="22"/>
      <c r="P33" s="22"/>
      <c r="Q33" s="22"/>
      <c r="R33" s="22"/>
      <c r="S33" s="22"/>
      <c r="T33" s="22"/>
      <c r="U33" s="22"/>
    </row>
    <row r="34" spans="1:27" x14ac:dyDescent="0.3">
      <c r="A34" s="22"/>
      <c r="B34" s="22"/>
      <c r="C34" s="22"/>
      <c r="D34" s="22"/>
      <c r="E34" s="22"/>
      <c r="F34" s="22"/>
      <c r="G34" s="22"/>
      <c r="H34" s="22"/>
      <c r="I34" s="22"/>
      <c r="J34" s="22"/>
      <c r="K34" s="22"/>
      <c r="L34" s="22"/>
      <c r="M34" s="22"/>
      <c r="N34" s="22"/>
      <c r="O34" s="22"/>
      <c r="P34" s="22"/>
      <c r="Q34" s="22"/>
      <c r="R34" s="22"/>
      <c r="S34" s="22"/>
      <c r="T34" s="22"/>
      <c r="U34" s="22"/>
    </row>
    <row r="35" spans="1:27" x14ac:dyDescent="0.3">
      <c r="A35" s="22"/>
      <c r="B35" s="22"/>
      <c r="C35" s="22"/>
      <c r="D35" s="22"/>
      <c r="E35" s="22"/>
      <c r="F35" s="22"/>
      <c r="G35" s="22"/>
      <c r="H35" s="22"/>
      <c r="I35" s="22"/>
      <c r="J35" s="22"/>
      <c r="K35" s="22"/>
      <c r="L35" s="22"/>
      <c r="M35" s="22"/>
      <c r="N35" s="22"/>
      <c r="O35" s="22"/>
      <c r="P35" s="22"/>
      <c r="Q35" s="22"/>
      <c r="R35" s="22"/>
      <c r="S35" s="22"/>
      <c r="T35" s="22"/>
      <c r="U35" s="22"/>
    </row>
    <row r="36" spans="1:27" x14ac:dyDescent="0.3">
      <c r="A36" s="22"/>
      <c r="B36" s="22"/>
      <c r="C36" s="22"/>
      <c r="D36" s="22"/>
      <c r="E36" s="22"/>
      <c r="F36" s="22"/>
      <c r="G36" s="22"/>
      <c r="H36" s="22"/>
      <c r="I36" s="22"/>
      <c r="J36" s="22"/>
      <c r="K36" s="22"/>
      <c r="L36" s="22"/>
      <c r="M36" s="22"/>
      <c r="N36" s="22"/>
      <c r="O36" s="22"/>
      <c r="P36" s="22"/>
      <c r="Q36" s="22"/>
      <c r="R36" s="22"/>
      <c r="S36" s="22"/>
      <c r="T36" s="22"/>
      <c r="U36" s="22"/>
    </row>
    <row r="37" spans="1:27" x14ac:dyDescent="0.3">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row>
    <row r="38" spans="1:27" x14ac:dyDescent="0.3">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row>
    <row r="39" spans="1:27" x14ac:dyDescent="0.3">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row>
    <row r="40" spans="1:27" x14ac:dyDescent="0.3">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row>
    <row r="41" spans="1:27" x14ac:dyDescent="0.3">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row>
    <row r="42" spans="1:27" x14ac:dyDescent="0.3">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row>
    <row r="43" spans="1:27" x14ac:dyDescent="0.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row>
    <row r="44" spans="1:27" x14ac:dyDescent="0.3">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row>
    <row r="45" spans="1:27" x14ac:dyDescent="0.3">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row>
    <row r="46" spans="1:27" x14ac:dyDescent="0.3">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row>
    <row r="47" spans="1:27" x14ac:dyDescent="0.3">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row>
    <row r="48" spans="1:27" x14ac:dyDescent="0.3">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row>
    <row r="49" spans="1:27" x14ac:dyDescent="0.3">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row>
    <row r="50" spans="1:27" x14ac:dyDescent="0.3">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row>
    <row r="51" spans="1:27" x14ac:dyDescent="0.3">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row>
    <row r="52" spans="1:27" x14ac:dyDescent="0.3">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row>
    <row r="53" spans="1:27" x14ac:dyDescent="0.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row>
    <row r="54" spans="1:27" x14ac:dyDescent="0.3">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row>
    <row r="55" spans="1:27" x14ac:dyDescent="0.3">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row>
    <row r="56" spans="1:27" x14ac:dyDescent="0.3">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row>
    <row r="57" spans="1:27" x14ac:dyDescent="0.3">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row>
    <row r="58" spans="1:27" x14ac:dyDescent="0.3">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row>
    <row r="59" spans="1:27" x14ac:dyDescent="0.3">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row>
    <row r="60" spans="1:27" x14ac:dyDescent="0.3">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row>
    <row r="61" spans="1:27" x14ac:dyDescent="0.3">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row>
    <row r="62" spans="1:27" x14ac:dyDescent="0.3">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row>
    <row r="63" spans="1:27" x14ac:dyDescent="0.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row>
    <row r="64" spans="1:27" x14ac:dyDescent="0.3">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row>
    <row r="65" spans="1:27" x14ac:dyDescent="0.3">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row>
    <row r="66" spans="1:27" x14ac:dyDescent="0.3">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row>
    <row r="67" spans="1:27" x14ac:dyDescent="0.3">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row>
    <row r="68" spans="1:27" x14ac:dyDescent="0.3">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row>
    <row r="69" spans="1:27" x14ac:dyDescent="0.3">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row>
    <row r="70" spans="1:27" x14ac:dyDescent="0.3">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row>
    <row r="71" spans="1:27" x14ac:dyDescent="0.3">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row>
    <row r="72" spans="1:27" x14ac:dyDescent="0.3">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row>
    <row r="73" spans="1:27" x14ac:dyDescent="0.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row>
    <row r="74" spans="1:27" x14ac:dyDescent="0.3">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row>
    <row r="75" spans="1:27" x14ac:dyDescent="0.3">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row>
    <row r="76" spans="1:27" x14ac:dyDescent="0.3">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row>
    <row r="77" spans="1:27" x14ac:dyDescent="0.3">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row>
    <row r="78" spans="1:27" x14ac:dyDescent="0.3">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row>
    <row r="79" spans="1:27" x14ac:dyDescent="0.3">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row>
    <row r="80" spans="1:27" x14ac:dyDescent="0.3">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row>
    <row r="81" spans="1:27" x14ac:dyDescent="0.3">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row>
    <row r="82" spans="1:27" x14ac:dyDescent="0.3">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row>
    <row r="83" spans="1:27" x14ac:dyDescent="0.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row>
    <row r="84" spans="1:27" x14ac:dyDescent="0.3">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row>
    <row r="85" spans="1:27" x14ac:dyDescent="0.3">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row>
    <row r="86" spans="1:27" x14ac:dyDescent="0.3">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row>
    <row r="87" spans="1:27" x14ac:dyDescent="0.3">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row>
    <row r="88" spans="1:27" x14ac:dyDescent="0.3">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row>
    <row r="89" spans="1:27" x14ac:dyDescent="0.3">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row>
    <row r="90" spans="1:27" x14ac:dyDescent="0.3">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row>
    <row r="91" spans="1:27" x14ac:dyDescent="0.3">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row>
    <row r="92" spans="1:27" x14ac:dyDescent="0.3">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row>
    <row r="93" spans="1:27" x14ac:dyDescent="0.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row>
    <row r="94" spans="1:27" x14ac:dyDescent="0.3">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row>
    <row r="95" spans="1:27" x14ac:dyDescent="0.3">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row>
    <row r="96" spans="1:27" x14ac:dyDescent="0.3">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row>
    <row r="97" spans="1:27" x14ac:dyDescent="0.3">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row>
    <row r="98" spans="1:27" x14ac:dyDescent="0.3">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row>
    <row r="99" spans="1:27" x14ac:dyDescent="0.3">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row>
    <row r="100" spans="1:27" x14ac:dyDescent="0.3">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row>
    <row r="101" spans="1:27" x14ac:dyDescent="0.3">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row>
    <row r="102" spans="1:27" x14ac:dyDescent="0.3">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row>
    <row r="103" spans="1:27" x14ac:dyDescent="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row>
    <row r="104" spans="1:27" x14ac:dyDescent="0.3">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row>
    <row r="105" spans="1:27" x14ac:dyDescent="0.3">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row>
    <row r="106" spans="1:27" x14ac:dyDescent="0.3">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row>
    <row r="107" spans="1:27" x14ac:dyDescent="0.3">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row>
    <row r="108" spans="1:27" x14ac:dyDescent="0.3">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row>
    <row r="109" spans="1:27" x14ac:dyDescent="0.3">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row>
    <row r="110" spans="1:27" x14ac:dyDescent="0.3">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row>
    <row r="111" spans="1:27" x14ac:dyDescent="0.3">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row>
    <row r="112" spans="1:27" x14ac:dyDescent="0.3">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row>
    <row r="113" spans="1:27" x14ac:dyDescent="0.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row>
    <row r="114" spans="1:27" x14ac:dyDescent="0.3">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row>
    <row r="115" spans="1:27" x14ac:dyDescent="0.3">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row>
    <row r="116" spans="1:27" x14ac:dyDescent="0.3">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row>
    <row r="117" spans="1:27" x14ac:dyDescent="0.3">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row>
    <row r="118" spans="1:27" x14ac:dyDescent="0.3">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row>
    <row r="119" spans="1:27" x14ac:dyDescent="0.3">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row>
    <row r="120" spans="1:27" x14ac:dyDescent="0.3">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row>
    <row r="121" spans="1:27" x14ac:dyDescent="0.3">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row>
    <row r="122" spans="1:27" x14ac:dyDescent="0.3">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row>
    <row r="123" spans="1:27" x14ac:dyDescent="0.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row>
    <row r="124" spans="1:27" x14ac:dyDescent="0.3">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row>
    <row r="125" spans="1:27" x14ac:dyDescent="0.3">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row>
    <row r="126" spans="1:27" x14ac:dyDescent="0.3">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row>
    <row r="127" spans="1:27" x14ac:dyDescent="0.3">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row>
    <row r="128" spans="1:27" x14ac:dyDescent="0.3">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row>
    <row r="129" spans="1:27" x14ac:dyDescent="0.3">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row>
    <row r="130" spans="1:27" x14ac:dyDescent="0.3">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row>
    <row r="131" spans="1:27" x14ac:dyDescent="0.3">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row>
    <row r="132" spans="1:27" x14ac:dyDescent="0.3">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row>
    <row r="133" spans="1:27" x14ac:dyDescent="0.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row>
    <row r="134" spans="1:27" x14ac:dyDescent="0.3">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row>
    <row r="135" spans="1:27" x14ac:dyDescent="0.3">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row>
    <row r="136" spans="1:27" x14ac:dyDescent="0.3">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row>
    <row r="137" spans="1:27" x14ac:dyDescent="0.3">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row>
    <row r="138" spans="1:27" x14ac:dyDescent="0.3">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row>
    <row r="139" spans="1:27" x14ac:dyDescent="0.3">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row>
    <row r="140" spans="1:27" x14ac:dyDescent="0.3">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row>
    <row r="141" spans="1:27" x14ac:dyDescent="0.3">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row>
    <row r="142" spans="1:27" x14ac:dyDescent="0.3">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row>
    <row r="143" spans="1:27" x14ac:dyDescent="0.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row>
    <row r="144" spans="1:27" x14ac:dyDescent="0.3">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row>
    <row r="145" spans="1:27" x14ac:dyDescent="0.3">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row>
    <row r="146" spans="1:27" x14ac:dyDescent="0.3">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row>
    <row r="147" spans="1:27" x14ac:dyDescent="0.3">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row>
    <row r="148" spans="1:27" x14ac:dyDescent="0.3">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row>
    <row r="149" spans="1:27" x14ac:dyDescent="0.3">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row>
    <row r="150" spans="1:27" x14ac:dyDescent="0.3">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row>
    <row r="151" spans="1:27" x14ac:dyDescent="0.3">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row>
    <row r="152" spans="1:27" x14ac:dyDescent="0.3">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row>
    <row r="153" spans="1:27" x14ac:dyDescent="0.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row>
    <row r="154" spans="1:27" x14ac:dyDescent="0.3">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row>
    <row r="155" spans="1:27" x14ac:dyDescent="0.3">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row>
    <row r="156" spans="1:27" x14ac:dyDescent="0.3">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row>
    <row r="157" spans="1:27" x14ac:dyDescent="0.3">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row>
    <row r="158" spans="1:27" x14ac:dyDescent="0.3">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row>
    <row r="159" spans="1:27" x14ac:dyDescent="0.3">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row>
    <row r="160" spans="1:27" x14ac:dyDescent="0.3">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row>
    <row r="161" spans="4:27" x14ac:dyDescent="0.3">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row>
    <row r="162" spans="4:27" x14ac:dyDescent="0.3">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row>
    <row r="163" spans="4:27" x14ac:dyDescent="0.3">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row>
    <row r="164" spans="4:27" x14ac:dyDescent="0.3">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row>
    <row r="165" spans="4:27" x14ac:dyDescent="0.3">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row>
    <row r="166" spans="4:27" x14ac:dyDescent="0.3">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row>
    <row r="167" spans="4:27" x14ac:dyDescent="0.3">
      <c r="V167" s="22"/>
      <c r="W167" s="22"/>
      <c r="X167" s="22"/>
      <c r="Y167" s="22"/>
      <c r="Z167" s="22"/>
      <c r="AA167" s="22"/>
    </row>
    <row r="168" spans="4:27" x14ac:dyDescent="0.3">
      <c r="V168" s="22"/>
      <c r="W168" s="22"/>
      <c r="X168" s="22"/>
      <c r="Y168" s="22"/>
      <c r="Z168" s="22"/>
      <c r="AA168" s="22"/>
    </row>
    <row r="169" spans="4:27" x14ac:dyDescent="0.3">
      <c r="V169" s="22"/>
      <c r="W169" s="22"/>
      <c r="X169" s="22"/>
      <c r="Y169" s="22"/>
      <c r="Z169" s="22"/>
      <c r="AA169" s="22"/>
    </row>
    <row r="170" spans="4:27" x14ac:dyDescent="0.3">
      <c r="V170" s="21"/>
      <c r="W170" s="21"/>
      <c r="X170" s="21"/>
    </row>
    <row r="171" spans="4:27" x14ac:dyDescent="0.3">
      <c r="V171" s="21"/>
      <c r="W171" s="21"/>
      <c r="X171" s="21"/>
    </row>
    <row r="172" spans="4:27" x14ac:dyDescent="0.3">
      <c r="V172" s="21"/>
      <c r="W172" s="21"/>
      <c r="X172" s="21"/>
    </row>
  </sheetData>
  <mergeCells count="1">
    <mergeCell ref="D2:R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Sheet4</vt:lpstr>
      <vt:lpstr>Sheet3</vt:lpstr>
      <vt:lpstr>Sheet1</vt:lpstr>
      <vt:lpstr>Sheet2</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Other Levels</dc:creator>
  <cp:lastModifiedBy>Gauri nandana Reji</cp:lastModifiedBy>
  <dcterms:created xsi:type="dcterms:W3CDTF">2025-01-26T12:41:25Z</dcterms:created>
  <dcterms:modified xsi:type="dcterms:W3CDTF">2026-10-27T17:20:20Z</dcterms:modified>
</cp:coreProperties>
</file>